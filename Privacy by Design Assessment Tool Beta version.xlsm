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almabroukbenomran/Desktop/UDST/Spring Semester (2024)/Privacy in the Digital Era/Assignment/"/>
    </mc:Choice>
  </mc:AlternateContent>
  <xr:revisionPtr revIDLastSave="0" documentId="13_ncr:1_{ACAB2C20-CB83-584E-9F0F-F31623BC7B88}" xr6:coauthVersionLast="47" xr6:coauthVersionMax="47" xr10:uidLastSave="{00000000-0000-0000-0000-000000000000}"/>
  <bookViews>
    <workbookView xWindow="1900" yWindow="1900" windowWidth="33860" windowHeight="18560" activeTab="5" xr2:uid="{19DF4402-E7DF-479E-BFD3-1C6E7245C1C8}"/>
  </bookViews>
  <sheets>
    <sheet name="Sheet4" sheetId="10" state="veryHidden" r:id="rId1"/>
    <sheet name="Report-Testing" sheetId="14" state="veryHidden" r:id="rId2"/>
    <sheet name="ThankYou" sheetId="16" state="veryHidden" r:id="rId3"/>
    <sheet name="Read this first" sheetId="9" r:id="rId4"/>
    <sheet name="Initial Information Request" sheetId="13" r:id="rId5"/>
    <sheet name="Assessment" sheetId="3" r:id="rId6"/>
    <sheet name="Working Sheet" sheetId="4" state="veryHidden" r:id="rId7"/>
    <sheet name="Calculations" sheetId="7" state="veryHidden" r:id="rId8"/>
  </sheets>
  <definedNames>
    <definedName name="_xlnm._FilterDatabase" localSheetId="5" hidden="1">Assessment!$A$2:$G$45</definedName>
    <definedName name="_Hlk114998440" localSheetId="1">'Report-Testing'!#REF!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45" i="14" l="1"/>
  <c r="F207" i="14" l="1"/>
  <c r="F164" i="14"/>
  <c r="I112" i="14"/>
  <c r="I111" i="14"/>
  <c r="I110" i="14"/>
  <c r="I109" i="14"/>
  <c r="I108" i="14"/>
  <c r="I107" i="14"/>
  <c r="I106" i="14"/>
  <c r="I105" i="14"/>
  <c r="I104" i="14"/>
  <c r="I103" i="14"/>
  <c r="I16" i="7"/>
  <c r="I15" i="7"/>
  <c r="I14" i="7"/>
  <c r="I13" i="7"/>
  <c r="I12" i="7"/>
  <c r="I11" i="7"/>
  <c r="C4" i="10" l="1"/>
  <c r="A4" i="10" s="1"/>
  <c r="C5" i="10"/>
  <c r="A5" i="10" s="1"/>
  <c r="C6" i="10"/>
  <c r="A6" i="10" s="1"/>
  <c r="C7" i="10"/>
  <c r="A7" i="10" s="1"/>
  <c r="C8" i="10"/>
  <c r="A8" i="10" s="1"/>
  <c r="C9" i="10"/>
  <c r="A9" i="10" s="1"/>
  <c r="C10" i="10"/>
  <c r="A10" i="10" s="1"/>
  <c r="C11" i="10"/>
  <c r="A11" i="10" s="1"/>
  <c r="C12" i="10"/>
  <c r="A12" i="10" s="1"/>
  <c r="C13" i="10"/>
  <c r="A13" i="10" s="1"/>
  <c r="C14" i="10"/>
  <c r="A14" i="10" s="1"/>
  <c r="C15" i="10"/>
  <c r="A15" i="10" s="1"/>
  <c r="C16" i="10"/>
  <c r="A16" i="10" s="1"/>
  <c r="C17" i="10"/>
  <c r="A17" i="10" s="1"/>
  <c r="C18" i="10"/>
  <c r="A18" i="10" s="1"/>
  <c r="C19" i="10"/>
  <c r="A19" i="10" s="1"/>
  <c r="C20" i="10"/>
  <c r="A20" i="10" s="1"/>
  <c r="C21" i="10"/>
  <c r="A21" i="10" s="1"/>
  <c r="C22" i="10"/>
  <c r="A22" i="10" s="1"/>
  <c r="C23" i="10"/>
  <c r="A23" i="10" s="1"/>
  <c r="C24" i="10"/>
  <c r="A24" i="10" s="1"/>
  <c r="C25" i="10"/>
  <c r="A25" i="10" s="1"/>
  <c r="C26" i="10"/>
  <c r="A26" i="10" s="1"/>
  <c r="C27" i="10"/>
  <c r="A27" i="10" s="1"/>
  <c r="C28" i="10"/>
  <c r="A28" i="10" s="1"/>
  <c r="C29" i="10"/>
  <c r="A29" i="10" s="1"/>
  <c r="C30" i="10"/>
  <c r="A30" i="10" s="1"/>
  <c r="C31" i="10"/>
  <c r="A31" i="10" s="1"/>
  <c r="C32" i="10"/>
  <c r="A32" i="10" s="1"/>
  <c r="C33" i="10"/>
  <c r="A33" i="10" s="1"/>
  <c r="C34" i="10"/>
  <c r="A34" i="10" s="1"/>
  <c r="C35" i="10"/>
  <c r="A35" i="10" s="1"/>
  <c r="C36" i="10"/>
  <c r="A36" i="10" s="1"/>
  <c r="C37" i="10"/>
  <c r="A37" i="10" s="1"/>
  <c r="C38" i="10"/>
  <c r="A38" i="10" s="1"/>
  <c r="C39" i="10"/>
  <c r="A39" i="10" s="1"/>
  <c r="C40" i="10"/>
  <c r="A40" i="10" s="1"/>
  <c r="C41" i="10"/>
  <c r="A41" i="10" s="1"/>
  <c r="C42" i="10"/>
  <c r="A42" i="10" s="1"/>
  <c r="C43" i="10"/>
  <c r="A43" i="10" s="1"/>
  <c r="C44" i="10"/>
  <c r="A44" i="10" s="1"/>
  <c r="C45" i="10"/>
  <c r="A45" i="10" s="1"/>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B44" i="10" l="1"/>
  <c r="B42" i="10"/>
  <c r="B40" i="10"/>
  <c r="B38" i="10"/>
  <c r="B9" i="10"/>
  <c r="B20" i="10"/>
  <c r="B15" i="10"/>
  <c r="B23" i="10"/>
  <c r="B43" i="10"/>
  <c r="B8" i="10"/>
  <c r="B35" i="10"/>
  <c r="B30" i="10"/>
  <c r="B16" i="10"/>
  <c r="B12" i="10"/>
  <c r="B10" i="10"/>
  <c r="B37" i="10"/>
  <c r="B13" i="10"/>
  <c r="B11" i="10"/>
  <c r="B31" i="10"/>
  <c r="B29" i="10"/>
  <c r="B41" i="10"/>
  <c r="B39" i="10"/>
  <c r="B22" i="10"/>
  <c r="B33" i="10"/>
  <c r="B34" i="10"/>
  <c r="B6" i="10"/>
  <c r="G4" i="10"/>
  <c r="F4" i="10"/>
  <c r="E4" i="10"/>
  <c r="E5" i="10"/>
  <c r="F5" i="10"/>
  <c r="G5" i="10"/>
  <c r="F6" i="10" l="1"/>
  <c r="G6" i="10"/>
  <c r="E6" i="10"/>
  <c r="F7" i="10" l="1"/>
  <c r="E7" i="10"/>
  <c r="G7" i="10"/>
  <c r="F8" i="10" l="1"/>
  <c r="G8" i="10"/>
  <c r="E8" i="10"/>
  <c r="F9" i="10" l="1"/>
  <c r="G9" i="10"/>
  <c r="E9" i="10"/>
  <c r="G10" i="10" l="1"/>
  <c r="F10" i="10"/>
  <c r="E10" i="10"/>
  <c r="H16" i="7"/>
  <c r="J16" i="7"/>
  <c r="G16" i="7"/>
  <c r="H15" i="7"/>
  <c r="J15" i="7"/>
  <c r="G15" i="7"/>
  <c r="H14" i="7"/>
  <c r="J14" i="7"/>
  <c r="G14" i="7"/>
  <c r="H13" i="7"/>
  <c r="J13" i="7"/>
  <c r="G13" i="7"/>
  <c r="H12" i="7"/>
  <c r="J12" i="7"/>
  <c r="G12" i="7"/>
  <c r="H11" i="7"/>
  <c r="J11" i="7"/>
  <c r="G11" i="7"/>
  <c r="F11" i="7"/>
  <c r="F12" i="7"/>
  <c r="F13" i="7"/>
  <c r="F14" i="7"/>
  <c r="F15" i="7"/>
  <c r="F16" i="7"/>
  <c r="F10" i="7"/>
  <c r="F11" i="10" l="1"/>
  <c r="G11" i="10"/>
  <c r="E11" i="10"/>
  <c r="F12" i="10" l="1"/>
  <c r="E12" i="10"/>
  <c r="G12" i="10"/>
  <c r="E13" i="10" l="1"/>
  <c r="G13" i="10"/>
  <c r="F13" i="10"/>
  <c r="E14" i="10" l="1"/>
  <c r="F14" i="10"/>
  <c r="G14" i="10"/>
  <c r="G15" i="10" l="1"/>
  <c r="F15" i="10"/>
  <c r="E15" i="10"/>
  <c r="G16" i="10" l="1"/>
  <c r="E16" i="10"/>
  <c r="F16" i="10"/>
  <c r="E17" i="10" l="1"/>
  <c r="F17" i="10"/>
  <c r="G17" i="10"/>
  <c r="F18" i="10" l="1"/>
  <c r="G18" i="10"/>
  <c r="E18" i="10"/>
  <c r="F19" i="10" l="1"/>
  <c r="G19" i="10"/>
  <c r="E19" i="10"/>
  <c r="F20" i="10" l="1"/>
  <c r="E20" i="10"/>
  <c r="G20" i="10"/>
  <c r="G21" i="10" l="1"/>
  <c r="F21" i="10"/>
  <c r="E21" i="10"/>
  <c r="E22" i="10" l="1"/>
  <c r="G22" i="10"/>
  <c r="F22" i="10"/>
  <c r="F23" i="10" l="1"/>
  <c r="G23" i="10"/>
  <c r="E23" i="10"/>
  <c r="E24" i="10" l="1"/>
  <c r="G24" i="10"/>
  <c r="F24" i="10"/>
  <c r="G25" i="10" l="1"/>
  <c r="E25" i="10"/>
  <c r="F25" i="10"/>
  <c r="F26" i="10" l="1"/>
  <c r="E26" i="10"/>
  <c r="G26" i="10"/>
  <c r="G27" i="10" l="1"/>
  <c r="E27" i="10"/>
  <c r="F27" i="10"/>
  <c r="G28" i="10" l="1"/>
  <c r="F28" i="10"/>
  <c r="E28" i="10"/>
  <c r="G29" i="10" l="1"/>
  <c r="E29" i="10"/>
  <c r="F29" i="10"/>
  <c r="F30" i="10" l="1"/>
  <c r="E30" i="10"/>
  <c r="G30" i="10"/>
  <c r="F31" i="10" l="1"/>
  <c r="G31" i="10"/>
  <c r="E31" i="10"/>
  <c r="E32" i="10" l="1"/>
  <c r="F32" i="10"/>
  <c r="G32" i="10"/>
  <c r="G33" i="10" l="1"/>
  <c r="F33" i="10"/>
  <c r="E33" i="10"/>
  <c r="E34" i="10" l="1"/>
  <c r="G34" i="10"/>
  <c r="F34" i="10"/>
  <c r="F35" i="10" l="1"/>
  <c r="E35" i="10"/>
  <c r="G35" i="10"/>
  <c r="F36" i="10" l="1"/>
  <c r="E36" i="10"/>
  <c r="G36" i="10"/>
  <c r="F37" i="10" l="1"/>
  <c r="G37" i="10"/>
  <c r="E37" i="10"/>
  <c r="F38" i="10" l="1"/>
  <c r="G38" i="10"/>
  <c r="E38" i="10"/>
  <c r="E39" i="10" l="1"/>
  <c r="F39" i="10"/>
  <c r="G39" i="10"/>
  <c r="E40" i="10" l="1"/>
  <c r="F40" i="10"/>
  <c r="G40" i="10"/>
  <c r="E41" i="10" l="1"/>
  <c r="G41" i="10"/>
  <c r="F41" i="10"/>
  <c r="G42" i="10" l="1"/>
  <c r="E42" i="10"/>
  <c r="F42" i="10"/>
  <c r="E43" i="10" l="1"/>
  <c r="F43" i="10"/>
  <c r="G43" i="10"/>
  <c r="E44" i="10" l="1"/>
  <c r="G44" i="10"/>
  <c r="F44" i="10"/>
  <c r="F45" i="10" l="1"/>
  <c r="G45" i="10"/>
  <c r="E45" i="10"/>
  <c r="I10" i="7"/>
  <c r="G10" i="7"/>
  <c r="D3" i="10"/>
  <c r="C5" i="7"/>
  <c r="C4" i="7"/>
  <c r="J10" i="7"/>
  <c r="C6" i="7"/>
  <c r="H10" i="7"/>
  <c r="C3" i="10"/>
  <c r="F3" i="10" s="1"/>
  <c r="C3" i="7"/>
  <c r="C8" i="7" l="1"/>
  <c r="C9" i="7"/>
  <c r="C11" i="7" s="1"/>
  <c r="C12" i="7" s="1"/>
  <c r="G3" i="10"/>
  <c r="A3" i="10"/>
  <c r="E3" i="10"/>
  <c r="B5" i="10" l="1"/>
  <c r="B45" i="10"/>
  <c r="B32" i="10"/>
  <c r="B18" i="10"/>
  <c r="B25" i="10"/>
  <c r="B27" i="10"/>
  <c r="B7" i="10"/>
  <c r="B36" i="10"/>
  <c r="B28" i="10"/>
  <c r="B21" i="10"/>
  <c r="B19" i="10"/>
  <c r="B17" i="10"/>
  <c r="B26" i="10"/>
  <c r="B14" i="10"/>
  <c r="B24" i="10"/>
  <c r="B3" i="10"/>
  <c r="B4" i="10"/>
  <c r="C16" i="7"/>
  <c r="B47" i="10" l="1"/>
  <c r="E165" i="14" s="1"/>
  <c r="G165" i="14" s="1"/>
  <c r="G164" i="14" l="1"/>
  <c r="H164" i="14"/>
  <c r="I164" i="14"/>
  <c r="H165" i="14"/>
  <c r="I165" i="14"/>
  <c r="F165" i="14"/>
  <c r="E166" i="14"/>
  <c r="H166" i="14" s="1"/>
  <c r="I166" i="14" l="1"/>
  <c r="G166" i="14"/>
  <c r="E167" i="14"/>
  <c r="G167" i="14" s="1"/>
  <c r="F166" i="14"/>
  <c r="H167" i="14" l="1"/>
  <c r="F167" i="14"/>
  <c r="I167" i="14"/>
  <c r="E168" i="14"/>
  <c r="G168" i="14" s="1"/>
  <c r="E169" i="14" l="1"/>
  <c r="F169" i="14" s="1"/>
  <c r="F168" i="14"/>
  <c r="H168" i="14"/>
  <c r="I168" i="14"/>
  <c r="H169" i="14" l="1"/>
  <c r="E170" i="14"/>
  <c r="F170" i="14" s="1"/>
  <c r="G169" i="14"/>
  <c r="I169" i="14"/>
  <c r="E171" i="14" l="1"/>
  <c r="H171" i="14" s="1"/>
  <c r="G170" i="14"/>
  <c r="I170" i="14"/>
  <c r="H170" i="14"/>
  <c r="F171" i="14"/>
  <c r="I171" i="14"/>
  <c r="E172" i="14"/>
  <c r="G171" i="14" l="1"/>
  <c r="I172" i="14"/>
  <c r="E173" i="14"/>
  <c r="F172" i="14"/>
  <c r="G172" i="14"/>
  <c r="H172" i="14"/>
  <c r="I173" i="14" l="1"/>
  <c r="E174" i="14"/>
  <c r="H173" i="14"/>
  <c r="G173" i="14"/>
  <c r="F173" i="14"/>
  <c r="H174" i="14" l="1"/>
  <c r="G174" i="14"/>
  <c r="I174" i="14"/>
  <c r="E175" i="14"/>
  <c r="F174" i="14"/>
  <c r="F175" i="14" l="1"/>
  <c r="G175" i="14"/>
  <c r="I175" i="14"/>
  <c r="H175" i="14"/>
  <c r="E176" i="14"/>
  <c r="G176" i="14" l="1"/>
  <c r="E177" i="14"/>
  <c r="H176" i="14"/>
  <c r="I176" i="14"/>
  <c r="F176" i="14"/>
  <c r="H177" i="14" l="1"/>
  <c r="F177" i="14"/>
  <c r="E178" i="14"/>
  <c r="G177" i="14"/>
  <c r="I177" i="14"/>
  <c r="I178" i="14" l="1"/>
  <c r="F178" i="14"/>
  <c r="H178" i="14"/>
  <c r="E179" i="14"/>
  <c r="G178" i="14"/>
  <c r="H179" i="14" l="1"/>
  <c r="G179" i="14"/>
  <c r="F179" i="14"/>
  <c r="I179" i="14"/>
  <c r="E180" i="14"/>
  <c r="H180" i="14" l="1"/>
  <c r="E181" i="14"/>
  <c r="F180" i="14"/>
  <c r="G180" i="14"/>
  <c r="I180" i="14"/>
  <c r="H181" i="14" l="1"/>
  <c r="E182" i="14"/>
  <c r="I181" i="14"/>
  <c r="G181" i="14"/>
  <c r="F181" i="14"/>
  <c r="I182" i="14" l="1"/>
  <c r="H182" i="14"/>
  <c r="G182" i="14"/>
  <c r="E183" i="14"/>
  <c r="F182" i="14"/>
  <c r="G183" i="14" l="1"/>
  <c r="F183" i="14"/>
  <c r="I183" i="14"/>
  <c r="H183" i="14"/>
  <c r="E184" i="14"/>
  <c r="F184" i="14" l="1"/>
  <c r="E185" i="14"/>
  <c r="I184" i="14"/>
  <c r="H184" i="14"/>
  <c r="G184" i="14"/>
  <c r="G185" i="14" l="1"/>
  <c r="F185" i="14"/>
  <c r="E186" i="14"/>
  <c r="I185" i="14"/>
  <c r="H185" i="14"/>
  <c r="H186" i="14" l="1"/>
  <c r="G186" i="14"/>
  <c r="I186" i="14"/>
  <c r="E187" i="14"/>
  <c r="F186" i="14"/>
  <c r="G187" i="14" l="1"/>
  <c r="F187" i="14"/>
  <c r="I187" i="14"/>
  <c r="H187" i="14"/>
  <c r="E188" i="14"/>
  <c r="F188" i="14" l="1"/>
  <c r="E189" i="14"/>
  <c r="I188" i="14"/>
  <c r="H188" i="14"/>
  <c r="G188" i="14"/>
  <c r="G189" i="14" l="1"/>
  <c r="E190" i="14"/>
  <c r="F189" i="14"/>
  <c r="I189" i="14"/>
  <c r="H189" i="14"/>
  <c r="G190" i="14" l="1"/>
  <c r="I190" i="14"/>
  <c r="F190" i="14"/>
  <c r="E191" i="14"/>
  <c r="H190" i="14"/>
  <c r="I191" i="14" l="1"/>
  <c r="F191" i="14"/>
  <c r="G191" i="14"/>
  <c r="H191" i="14"/>
  <c r="E192" i="14"/>
  <c r="G192" i="14" l="1"/>
  <c r="E193" i="14"/>
  <c r="F192" i="14"/>
  <c r="I192" i="14"/>
  <c r="H192" i="14"/>
  <c r="H193" i="14" l="1"/>
  <c r="E194" i="14"/>
  <c r="G193" i="14"/>
  <c r="F193" i="14"/>
  <c r="I193" i="14"/>
  <c r="H194" i="14" l="1"/>
  <c r="G194" i="14"/>
  <c r="I194" i="14"/>
  <c r="E195" i="14"/>
  <c r="F194" i="14"/>
  <c r="H195" i="14" l="1"/>
  <c r="G195" i="14"/>
  <c r="I195" i="14"/>
  <c r="F195" i="14"/>
  <c r="E196" i="14"/>
  <c r="G196" i="14" l="1"/>
  <c r="E197" i="14"/>
  <c r="H196" i="14"/>
  <c r="F196" i="14"/>
  <c r="I196" i="14"/>
  <c r="I197" i="14" l="1"/>
  <c r="E198" i="14"/>
  <c r="H197" i="14"/>
  <c r="G197" i="14"/>
  <c r="F197" i="14"/>
  <c r="I198" i="14" l="1"/>
  <c r="F198" i="14"/>
  <c r="H198" i="14"/>
  <c r="E199" i="14"/>
  <c r="G198" i="14"/>
  <c r="I199" i="14" l="1"/>
  <c r="H199" i="14"/>
  <c r="G199" i="14"/>
  <c r="F199" i="14"/>
  <c r="E200" i="14"/>
  <c r="I200" i="14" l="1"/>
  <c r="E201" i="14"/>
  <c r="F200" i="14"/>
  <c r="G200" i="14"/>
  <c r="H200" i="14"/>
  <c r="I201" i="14" l="1"/>
  <c r="E202" i="14"/>
  <c r="H201" i="14"/>
  <c r="F201" i="14"/>
  <c r="G201" i="14"/>
  <c r="I202" i="14" l="1"/>
  <c r="G202" i="14"/>
  <c r="H202" i="14"/>
  <c r="E203" i="14"/>
  <c r="F202" i="14"/>
  <c r="G203" i="14" l="1"/>
  <c r="F203" i="14"/>
  <c r="I203" i="14"/>
  <c r="H203" i="14"/>
  <c r="E204" i="14"/>
  <c r="G204" i="14" l="1"/>
  <c r="E205" i="14"/>
  <c r="F204" i="14"/>
  <c r="I204" i="14"/>
  <c r="H204" i="14"/>
  <c r="G205" i="14" l="1"/>
  <c r="H205" i="14"/>
  <c r="E206" i="14"/>
  <c r="I205" i="14"/>
  <c r="F205" i="14"/>
  <c r="H206" i="14" l="1"/>
  <c r="I206" i="14"/>
  <c r="G206" i="14"/>
  <c r="F20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 Sarangan</author>
  </authors>
  <commentList>
    <comment ref="I163" authorId="0" shapeId="0" xr:uid="{867593EB-7368-4C49-99AF-0A253E153087}">
      <text>
        <r>
          <rPr>
            <b/>
            <sz val="9"/>
            <color indexed="81"/>
            <rFont val="Tahoma"/>
            <family val="2"/>
          </rPr>
          <t>NDPO:</t>
        </r>
        <r>
          <rPr>
            <sz val="9"/>
            <color indexed="81"/>
            <rFont val="Tahoma"/>
            <family val="2"/>
          </rPr>
          <t xml:space="preserve">
These recommendations are generic and based on industry best practices. Please update the same in alignment with your environment.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Sarangan, Ram</author>
  </authors>
  <commentList>
    <comment ref="G2" authorId="0" shapeId="0" xr:uid="{21DAF37C-741C-4DCA-A6D2-8905FC048CFC}">
      <text>
        <r>
          <rPr>
            <b/>
            <sz val="9"/>
            <color rgb="FF000000"/>
            <rFont val="Tahoma"/>
            <family val="2"/>
          </rPr>
          <t>NDPO:</t>
        </r>
        <r>
          <rPr>
            <sz val="9"/>
            <color rgb="FF000000"/>
            <rFont val="Tahoma"/>
            <family val="2"/>
          </rPr>
          <t xml:space="preserve">
</t>
        </r>
        <r>
          <rPr>
            <sz val="9"/>
            <color rgb="FF000000"/>
            <rFont val="Tahoma"/>
            <family val="2"/>
          </rPr>
          <t>To be populated by the team carrying out the assessment. Please use the drop down to select the appropriate effectiveness level</t>
        </r>
      </text>
    </comment>
    <comment ref="H2" authorId="0" shapeId="0" xr:uid="{68741305-4364-405F-A4F8-7B867EA05447}">
      <text>
        <r>
          <rPr>
            <b/>
            <sz val="9"/>
            <color rgb="FF000000"/>
            <rFont val="Tahoma"/>
            <family val="2"/>
          </rPr>
          <t>NDPO:</t>
        </r>
        <r>
          <rPr>
            <sz val="9"/>
            <color rgb="FF000000"/>
            <rFont val="Tahoma"/>
            <family val="2"/>
          </rPr>
          <t xml:space="preserve">
</t>
        </r>
        <r>
          <rPr>
            <sz val="9"/>
            <color rgb="FF000000"/>
            <rFont val="Tahoma"/>
            <family val="2"/>
          </rPr>
          <t>To be populated by the team carrying out the assessment</t>
        </r>
      </text>
    </comment>
  </commentList>
</comments>
</file>

<file path=xl/sharedStrings.xml><?xml version="1.0" encoding="utf-8"?>
<sst xmlns="http://schemas.openxmlformats.org/spreadsheetml/2006/main" count="849" uniqueCount="483">
  <si>
    <t>Data Subject Rights</t>
  </si>
  <si>
    <t>Security for Privacy</t>
  </si>
  <si>
    <t>Change Management</t>
  </si>
  <si>
    <t>Domain</t>
  </si>
  <si>
    <t>Transparency</t>
  </si>
  <si>
    <t>Privacy Notice</t>
  </si>
  <si>
    <t>Cookie Policy</t>
  </si>
  <si>
    <t>Complaints Mechanism</t>
  </si>
  <si>
    <t>Visibility and Transparency</t>
  </si>
  <si>
    <t>Control Title</t>
  </si>
  <si>
    <t>Control Description</t>
  </si>
  <si>
    <t xml:space="preserve">System/application should provide information about its complaints mechanism either in their privacy notice or via other means. </t>
  </si>
  <si>
    <t>Privacy Notice - Contents</t>
  </si>
  <si>
    <t xml:space="preserve">Updated Privacy Notice </t>
  </si>
  <si>
    <t>Updated Privacy Notice - Prompt</t>
  </si>
  <si>
    <t>Control ID</t>
  </si>
  <si>
    <t>Data Lifecycle Management</t>
  </si>
  <si>
    <t>DLM_1</t>
  </si>
  <si>
    <t>Records/Inventory</t>
  </si>
  <si>
    <t xml:space="preserve">Records/Personal data inventories shall be developed for all personal data processing activities carried out using the system/application. </t>
  </si>
  <si>
    <t>Collection Limitation</t>
  </si>
  <si>
    <t>Data Minimization</t>
  </si>
  <si>
    <t>Purpose Limitation</t>
  </si>
  <si>
    <t xml:space="preserve">System/application should limit the processing of personal data to fulfil the purposes stated in the Privacy Notice. </t>
  </si>
  <si>
    <t xml:space="preserve">Appropriate measures should be in place to ensure personal data processed by the product are accurate and kept up-to date. </t>
  </si>
  <si>
    <t>Data Accuracy</t>
  </si>
  <si>
    <t>Anonymization</t>
  </si>
  <si>
    <t xml:space="preserve">Enable anonymization/de-identification on all instances of personal data, wherever, there is no requirement to maintain the same in clear text. </t>
  </si>
  <si>
    <t>DLM_2</t>
  </si>
  <si>
    <t>DLM_3</t>
  </si>
  <si>
    <t>DLM_4</t>
  </si>
  <si>
    <t>DLM_5</t>
  </si>
  <si>
    <t>DLM_6</t>
  </si>
  <si>
    <t>Disclosures</t>
  </si>
  <si>
    <t>Data Processing Agreements</t>
  </si>
  <si>
    <t xml:space="preserve">Disclose personal data to third parties only for carrying out personal data processing activities that are stated in the Privacy Notice. </t>
  </si>
  <si>
    <t>Limit usage of Third Parties</t>
  </si>
  <si>
    <t xml:space="preserve">Ensure personal data is deleted from the Third Party service providers system post expiry of the service agreement. </t>
  </si>
  <si>
    <t>Limit disclosure of personal data attributes</t>
  </si>
  <si>
    <t>Deletion of personal data from Third Party systems</t>
  </si>
  <si>
    <t>DIS_1</t>
  </si>
  <si>
    <t>DIS_2</t>
  </si>
  <si>
    <t>DIS_3</t>
  </si>
  <si>
    <t>DIS_4</t>
  </si>
  <si>
    <t>Access controls</t>
  </si>
  <si>
    <t xml:space="preserve">Appropriate levels of access controls should be in place to restrict access of personal data to authorized personnel. </t>
  </si>
  <si>
    <t>Audit Logging</t>
  </si>
  <si>
    <t xml:space="preserve">Critical data residing on the system/application should be backed up on a periodic basis. </t>
  </si>
  <si>
    <t xml:space="preserve">System/Application should be protected with a Web Application Firewall to protect the underlying application from malicious traffic. </t>
  </si>
  <si>
    <t>Data Backups</t>
  </si>
  <si>
    <t>Web Application Firewall</t>
  </si>
  <si>
    <t>SEC_1</t>
  </si>
  <si>
    <t>SEC_2</t>
  </si>
  <si>
    <t>SEC_3</t>
  </si>
  <si>
    <t>SEC_4</t>
  </si>
  <si>
    <t xml:space="preserve">System/Application should be configured to send security alerts whenever the user attempts to login from a new device. </t>
  </si>
  <si>
    <t xml:space="preserve">System/Application should have a threshold of incorrect logon attempts. </t>
  </si>
  <si>
    <t>Two Factor Authentication</t>
  </si>
  <si>
    <t>Idle Session Timeout</t>
  </si>
  <si>
    <t>Incorrect Logon Attempts</t>
  </si>
  <si>
    <t xml:space="preserve">A strong password policy should be enforced to prevent the underlying system/applications from password attacks. </t>
  </si>
  <si>
    <t>Password Policy</t>
  </si>
  <si>
    <t>Vulnerability Scanning</t>
  </si>
  <si>
    <t xml:space="preserve">System/Applications should be subject to periodic vulnerability scans to unearth underlying vulnerabilities. </t>
  </si>
  <si>
    <t>Patching</t>
  </si>
  <si>
    <t xml:space="preserve">All critical vulnerabilities should be patched without undue delay. </t>
  </si>
  <si>
    <t>Encryption at rest</t>
  </si>
  <si>
    <t>Encryption in transit</t>
  </si>
  <si>
    <t xml:space="preserve">All client server communications should be safeguarded with an appropriate level of encryption. </t>
  </si>
  <si>
    <t>SEC_5</t>
  </si>
  <si>
    <t>SEC_6</t>
  </si>
  <si>
    <t>SEC_7</t>
  </si>
  <si>
    <t>SEC_8</t>
  </si>
  <si>
    <t>SEC_9</t>
  </si>
  <si>
    <t>SEC_10</t>
  </si>
  <si>
    <t>SEC_11</t>
  </si>
  <si>
    <t>SEC_12</t>
  </si>
  <si>
    <t>SEC_13</t>
  </si>
  <si>
    <t xml:space="preserve"> </t>
  </si>
  <si>
    <t xml:space="preserve">DSR - Access </t>
  </si>
  <si>
    <t xml:space="preserve">System/Application and the underlying databases should have the functionality to search and delete the personal data of the requested user. </t>
  </si>
  <si>
    <t xml:space="preserve">DSR - Correct </t>
  </si>
  <si>
    <t>DSR - Delete</t>
  </si>
  <si>
    <t>Privacy in System Development</t>
  </si>
  <si>
    <t>PSD_1</t>
  </si>
  <si>
    <t>Testing</t>
  </si>
  <si>
    <t>Production data (including personal data) should not be used for testing purposes.</t>
  </si>
  <si>
    <t>PSD_2</t>
  </si>
  <si>
    <t>Privacy by Design Principle</t>
  </si>
  <si>
    <t>Consent Management</t>
  </si>
  <si>
    <t>CM_1</t>
  </si>
  <si>
    <t>CM_2</t>
  </si>
  <si>
    <t>CM_3</t>
  </si>
  <si>
    <t>CM_4</t>
  </si>
  <si>
    <t>CM_5</t>
  </si>
  <si>
    <t>Consent - Obtain</t>
  </si>
  <si>
    <t>Consent - Record</t>
  </si>
  <si>
    <t>Consent - Withdraw</t>
  </si>
  <si>
    <t>Cookie Consent Banner</t>
  </si>
  <si>
    <t>In-App permissions</t>
  </si>
  <si>
    <r>
      <t xml:space="preserve">All in-app permissions should be turned off by default. </t>
    </r>
    <r>
      <rPr>
        <i/>
        <sz val="11"/>
        <color theme="1"/>
        <rFont val="Calibri"/>
        <family val="2"/>
        <scheme val="minor"/>
      </rPr>
      <t>(applicable for mobile apps)</t>
    </r>
  </si>
  <si>
    <t>DLM_7</t>
  </si>
  <si>
    <t>DLM_8</t>
  </si>
  <si>
    <t>Retention Period</t>
  </si>
  <si>
    <t>Retention Policy Enforcement</t>
  </si>
  <si>
    <t xml:space="preserve">Retention periods should be defined for all personal data that are processed using the system/application. </t>
  </si>
  <si>
    <t xml:space="preserve">Retention policy should enforced on the system/application in accordance with the defined retention periods. </t>
  </si>
  <si>
    <t>Control Effectiveness</t>
  </si>
  <si>
    <t>Visibility and Transparency
Proactive not Reactive</t>
  </si>
  <si>
    <t>Visibility and Transparency
Proactive not Reactive
Privacy embedded into Design</t>
  </si>
  <si>
    <t>Proactive not Reactive</t>
  </si>
  <si>
    <t>Privacy embedded into Design
Respect for User Privacy</t>
  </si>
  <si>
    <t>Proactive not Reactive
Privacy as the Default Setting</t>
  </si>
  <si>
    <t>Proactive not Reactive
End to End Security</t>
  </si>
  <si>
    <t>Proactive not Reactive
Privacy embedded into Design
Respect for User Privacy</t>
  </si>
  <si>
    <t>Privacy embedded into Design
Proactive not Reactive</t>
  </si>
  <si>
    <t>Issue Title</t>
  </si>
  <si>
    <t>Issue Description</t>
  </si>
  <si>
    <t>Recommendation</t>
  </si>
  <si>
    <t xml:space="preserve">There is no process in place to ensure Privacy Notice adheres with the requirements of PDPPL. </t>
  </si>
  <si>
    <t>Not Applicable</t>
  </si>
  <si>
    <t>Ineffective</t>
  </si>
  <si>
    <t>Notify individuals of disclosures</t>
  </si>
  <si>
    <t>System/application should present the individuals with a Privacy Notice at the time of collecting their personal data</t>
  </si>
  <si>
    <t xml:space="preserve">The privacy notice presented to individuals should cover all aspects of personal data processing carried out by the system/application and should be in accordance with applicable privacy </t>
  </si>
  <si>
    <t>Any changes to personal data processing shall be notified to the individuals without undue delay with an updated privacy notice</t>
  </si>
  <si>
    <t xml:space="preserve">System/application should redirect the individuals to the updated Privacy Notice upon their first access post updating the Privacy Notice. System/application can also be integrated with an email gateway to send email communications to individuals on updates to the Privacy Notice contents. </t>
  </si>
  <si>
    <t xml:space="preserve">Website should notify the individuals on the usage of cookies through a cookie policy. The cookie policy should clearly describe the types of cookies collected (First Party, Third Party, Session Cookies, Persistent cookies) and the reasons for the same. </t>
  </si>
  <si>
    <t xml:space="preserve">individuals are provided with an option to enable Two-Factor Authentication (2FA) for logging in to the system/application. </t>
  </si>
  <si>
    <t xml:space="preserve">There is no process in place to notify the individuals on changes in personal data processing activities via an updated Privacy Notice. </t>
  </si>
  <si>
    <t xml:space="preserve">System/Application should be configured to send security alerts whenever the individual attempts to login from a new device. </t>
  </si>
  <si>
    <t xml:space="preserve">System/Application and the underlying databases should have the functionality to search and delete the personal data of the requested individual. </t>
  </si>
  <si>
    <t xml:space="preserve">Upon an individual's first access to a system/application, they should be presented individuals with a cookie consent banner for managing their cookie preferences. Until an individual chooses his/her cookie preferences, only necessary cookies required for functioning of the website should be used. </t>
  </si>
  <si>
    <t>Effective</t>
  </si>
  <si>
    <t>TR_1</t>
  </si>
  <si>
    <t>TR_2</t>
  </si>
  <si>
    <t>TR_3</t>
  </si>
  <si>
    <t>TR_4</t>
  </si>
  <si>
    <t>TR_5</t>
  </si>
  <si>
    <t>TR_6</t>
  </si>
  <si>
    <t>Observation</t>
  </si>
  <si>
    <t>Control Status</t>
  </si>
  <si>
    <t>Count</t>
  </si>
  <si>
    <t>Domain wise status</t>
  </si>
  <si>
    <t>Privacy Score</t>
  </si>
  <si>
    <t>Disclaimer</t>
  </si>
  <si>
    <t>Users/non users are able to attempt to log on to an account for an unlimited number of times, making it more possible for non-users to guess password</t>
  </si>
  <si>
    <t>Privacy by Design Principles</t>
  </si>
  <si>
    <t xml:space="preserve"> Proactive not Reactive; Preventative not Remedial</t>
  </si>
  <si>
    <t>Privacy Embedded into Design</t>
  </si>
  <si>
    <t>Full Functionality; Positive-Sum, not Zero-Sum</t>
  </si>
  <si>
    <t>End-to-End Security; Full Lifecycle Protection</t>
  </si>
  <si>
    <t>Visibility and Transparency ; Keep it Open</t>
  </si>
  <si>
    <t>Respect for User Privacy; Keep it User-Centric</t>
  </si>
  <si>
    <t>Control Reference</t>
  </si>
  <si>
    <t>Gap ID</t>
  </si>
  <si>
    <t>Partially Effective</t>
  </si>
  <si>
    <t>G_01</t>
  </si>
  <si>
    <t>G_02</t>
  </si>
  <si>
    <t>G_03</t>
  </si>
  <si>
    <t>G_04</t>
  </si>
  <si>
    <t>G_05</t>
  </si>
  <si>
    <t>G_06</t>
  </si>
  <si>
    <t>G_07</t>
  </si>
  <si>
    <t>G_08</t>
  </si>
  <si>
    <t>G_09</t>
  </si>
  <si>
    <t>G_10</t>
  </si>
  <si>
    <t>G_11</t>
  </si>
  <si>
    <t>G_12</t>
  </si>
  <si>
    <t>G_13</t>
  </si>
  <si>
    <t>G_14</t>
  </si>
  <si>
    <t>G_15</t>
  </si>
  <si>
    <t>G_16</t>
  </si>
  <si>
    <t>G_17</t>
  </si>
  <si>
    <t>G_18</t>
  </si>
  <si>
    <t>G_19</t>
  </si>
  <si>
    <t>G_20</t>
  </si>
  <si>
    <t>G_21</t>
  </si>
  <si>
    <t>G_22</t>
  </si>
  <si>
    <t>G_23</t>
  </si>
  <si>
    <t>G_24</t>
  </si>
  <si>
    <t>G_25</t>
  </si>
  <si>
    <t>G_26</t>
  </si>
  <si>
    <t>G_27</t>
  </si>
  <si>
    <t>G_28</t>
  </si>
  <si>
    <t>G_29</t>
  </si>
  <si>
    <t>G_30</t>
  </si>
  <si>
    <t>G_31</t>
  </si>
  <si>
    <t>G_32</t>
  </si>
  <si>
    <t>G_33</t>
  </si>
  <si>
    <t>G_34</t>
  </si>
  <si>
    <t>G_35</t>
  </si>
  <si>
    <t>G_36</t>
  </si>
  <si>
    <t>G_37</t>
  </si>
  <si>
    <t>G_38</t>
  </si>
  <si>
    <t>G_39</t>
  </si>
  <si>
    <t>G_40</t>
  </si>
  <si>
    <t>G_41</t>
  </si>
  <si>
    <t>G_42</t>
  </si>
  <si>
    <t>G_43</t>
  </si>
  <si>
    <t>G_44</t>
  </si>
  <si>
    <t>G_45</t>
  </si>
  <si>
    <t>G_46</t>
  </si>
  <si>
    <t>G_47</t>
  </si>
  <si>
    <t>G_48</t>
  </si>
  <si>
    <t>G_49</t>
  </si>
  <si>
    <t>PRIVACY BY DESIGN ASSESSMENT - FINDINGS AND PROPOSED WAY FORWARD</t>
  </si>
  <si>
    <t xml:space="preserve">What is the name of the system/application? </t>
  </si>
  <si>
    <t xml:space="preserve">Does this system/application process personal data? </t>
  </si>
  <si>
    <t xml:space="preserve">Please provide us with the list of personal data attributes that is processed using the system/application?  </t>
  </si>
  <si>
    <t xml:space="preserve">Who developed this system/application? </t>
  </si>
  <si>
    <t xml:space="preserve">Who has access to personal data processed by the system/application? </t>
  </si>
  <si>
    <t>Please mention the list of upstream and downstream applications</t>
  </si>
  <si>
    <t>Please provide information on all personal data processing activities carried out by the application</t>
  </si>
  <si>
    <t xml:space="preserve">Does the application share data with external parties? </t>
  </si>
  <si>
    <t xml:space="preserve">Where is the application hosted? </t>
  </si>
  <si>
    <t xml:space="preserve">What is the current rate of change/updates? </t>
  </si>
  <si>
    <t xml:space="preserve">What is the authentication method for users, components and other applications and services? </t>
  </si>
  <si>
    <t>Response</t>
  </si>
  <si>
    <t>Initial Information Request</t>
  </si>
  <si>
    <t>Question/Information Request</t>
  </si>
  <si>
    <t>S.No</t>
  </si>
  <si>
    <t xml:space="preserve">Does the application use secure socket layer certificate? Who is the issuing authority? </t>
  </si>
  <si>
    <t>What areas/domains are covered in the tool</t>
  </si>
  <si>
    <t>What is this tool?</t>
  </si>
  <si>
    <t>Data Processing Agreements (in accordance with PDPPL requirements) should be executed with all third parties that have access to personal data processed by the system/application.</t>
  </si>
  <si>
    <t xml:space="preserve">There are no Data Processing Agreements executed with Third Party processors have access to personal data processed by system/application. </t>
  </si>
  <si>
    <t>It is recommended to perform the following:
-  Leverage RBAC principles to define roles and associated access privileges within the application and identify the different roles that require access to personal data. 
- Assign access permissions to each role based on their job responsibilities and the principle of least privilege.
- Implement robust user authentication mechanisms to verify the identity and authorization of users accessing the application.</t>
  </si>
  <si>
    <t xml:space="preserve">It is recommended to perform the following:
- Identify and finalize the specific activities and events that need to be logged such as user logins, data access, modifications, configuration changes, failed login attempts, and administrative actions.
- Design the logging system to capture relevant information (timestamp of the event, user ID, the IP address or device identifier, the action performed, etc.) about each logged event. 
- Securely store the logs (for a defined time period) to safeguard them from unauthorized access, tampering, or deletion. 
- Regularly review and analyze the audit logs to identify any suspicious activities and anomalies. </t>
  </si>
  <si>
    <t xml:space="preserve">Systems/applications should be subject to Privacy reviews and approvals from Privacy Team prior to its release. </t>
  </si>
  <si>
    <t>Privacy review and Approval - New system/application</t>
  </si>
  <si>
    <t xml:space="preserve">System/Application and the underlying databases should have the functionality to search and retrieve a copy of personal data of the requested individual in a machine readable format. </t>
  </si>
  <si>
    <t>Personal data stored in the underlying Databases of systems/applications should be safeguarded with an appropriate level of encryption.</t>
  </si>
  <si>
    <t>It is recommended to perform the following:
- Identify and finalize strong asymmetric encryption algorithm for safeguarding data in transit.
- Establish a secure key management system to generate, store, and manage encryption keys.
- Enable SSL/TLS (Secure Sockets Layer/Transport Layer Security) to encrypt all data transmitted between the client and server.</t>
  </si>
  <si>
    <t>It is recommended to perform the following:
- Define the criteria for new device login such as a new IP address, or a new user agent. 
- Implement a security alerting system that can monitor login activities and trigger alerts to the users when a new device login is detected basis defined criteria for new device logins.</t>
  </si>
  <si>
    <t xml:space="preserve">individual sessions should expire upon inactivity for a certain period of time. Criticality of the underlying system/application should be factored-in while setting the duration of idle session timeout. </t>
  </si>
  <si>
    <t>There is no process/functionality in place to either redirect the individuals to the updated Privacy Notice upon their first access post updating the Privacy Notice or send email communications to individuals on the updates made to the Privacy Notice.</t>
  </si>
  <si>
    <t>There is no functionality in place to present the individuals with a Cookie Policy.</t>
  </si>
  <si>
    <t>The system/application does not provide information about its complaints mechanism.</t>
  </si>
  <si>
    <t>Gap Description</t>
  </si>
  <si>
    <t xml:space="preserve">Gap </t>
  </si>
  <si>
    <t xml:space="preserve">Personal data inventories are not developed for processing activities carried out using the system/application. </t>
  </si>
  <si>
    <t xml:space="preserve">In-App permission are not turned off by default. </t>
  </si>
  <si>
    <t>There is no functionality to record consent from individuals.</t>
  </si>
  <si>
    <t xml:space="preserve">There is no functionality to present individuals with a cookie consent banner upon their first access. </t>
  </si>
  <si>
    <t>There is no functionality that allows individuals to withdraw their consent.</t>
  </si>
  <si>
    <t xml:space="preserve">There are no checks in place to limit the collection of personal data. </t>
  </si>
  <si>
    <t xml:space="preserve">There are no checks in place to limit the collection of personal data to what is adequate, relevant and necessary. </t>
  </si>
  <si>
    <t xml:space="preserve">There is no process to ensure personal data is disclosed to third parties only for carrying out personal data processing activities stated in the Privacy Notice. </t>
  </si>
  <si>
    <t xml:space="preserve">Retention policy is not enforced on the system/application. </t>
  </si>
  <si>
    <t>Retention periods are not defined for personal data processed using the system/application.</t>
  </si>
  <si>
    <t xml:space="preserve">Anonymization/de-identification is not performed. </t>
  </si>
  <si>
    <t xml:space="preserve">There is no process to limit the disclosure of personal data attributes to what is necessary. </t>
  </si>
  <si>
    <t xml:space="preserve">Individuals should be notified of all disclosures of personal data by Third Parties through the Privacy Notice. </t>
  </si>
  <si>
    <t xml:space="preserve">There is no process to notifies users on the disclosure of their personal data to third parties. </t>
  </si>
  <si>
    <t xml:space="preserve">Audit logging is not enabled on the system/application. </t>
  </si>
  <si>
    <t xml:space="preserve">Critical data residing on the system/application is not backed up. </t>
  </si>
  <si>
    <t xml:space="preserve">System/Application is not configured to send security alerts whenever the individual attempts to login from a new device. </t>
  </si>
  <si>
    <t xml:space="preserve">Two Factor Authentication is not implemented. </t>
  </si>
  <si>
    <t xml:space="preserve">Sessions do not expire upon inactivity for a certain period of time. </t>
  </si>
  <si>
    <t xml:space="preserve">Vulnerability scans are not regularly carried out to assess the state of security for the application. </t>
  </si>
  <si>
    <t xml:space="preserve">Critical vulnerabilities are not patched without undue delay. </t>
  </si>
  <si>
    <t xml:space="preserve">Data residing within the databases of system/application are not encrypted. </t>
  </si>
  <si>
    <t xml:space="preserve">Data transfers from/to system/application are not encrypted. </t>
  </si>
  <si>
    <t xml:space="preserve">End users are not presented with the functionality to access, update and delete their personal data. </t>
  </si>
  <si>
    <t xml:space="preserve">System/Application and the underlying databases do not have the functionality to search and retrieve a copy of personal data. </t>
  </si>
  <si>
    <t xml:space="preserve">System/Application and the underlying databases do not have the functionality to search, update and amend personal data. </t>
  </si>
  <si>
    <t xml:space="preserve">System/Application and the underlying databases do not have the functionality to search and delete personal data. </t>
  </si>
  <si>
    <t xml:space="preserve">System/application are not subject to  Privacy reviews and approvals from Privacy Team prior to their release. </t>
  </si>
  <si>
    <t>Privacy considerations are not factored in Software Development Lifecycle.</t>
  </si>
  <si>
    <t xml:space="preserve">There is no process to ensure production data are not used for testing purposes. </t>
  </si>
  <si>
    <t xml:space="preserve">There is no process in place that limits the usage of personal data to what is adequate, relevant and necessary. </t>
  </si>
  <si>
    <t xml:space="preserve">There are no measures in place to ensure accuracy of personal data is maintained. </t>
  </si>
  <si>
    <t xml:space="preserve">System/application should present the end users with the functionality to access, update and delete their personal data. </t>
  </si>
  <si>
    <t>Control to end users</t>
  </si>
  <si>
    <t xml:space="preserve">Users are provided with an option to enable Two-Factor Authentication (2FA) for logging in to the system/application. </t>
  </si>
  <si>
    <t xml:space="preserve">User sessions should expire upon inactivity for a certain period of time. Criticality of the underlying system/application should be factored-in while setting the duration of idle session timeout. </t>
  </si>
  <si>
    <t xml:space="preserve">System/application should have the functionality to obtain the individuals consent prior to collecting their personal data (applicable if consent is identified as the permitted reason/lawful basis for processing personal data) </t>
  </si>
  <si>
    <t xml:space="preserve">System/application should have the functionality to record all consents obtained from the individuals (applicable if consent is identified as the permitted reason/lawful basis for processing personal data) </t>
  </si>
  <si>
    <t xml:space="preserve">System/application should provide the individuals with the functionality to withdraw consent (applicable if consent is identified as the permitted reason/lawful basis for processing personal data) </t>
  </si>
  <si>
    <t xml:space="preserve">System/application should limit the collection of personal data in such a manner that it is adequate, relevant and necessary to fulfil the stated purposes in the Privacy Notice. </t>
  </si>
  <si>
    <t xml:space="preserve">System/application should limit the use and processing of personal data in such a manner that it is adequate, relevant and necessary to fulfil the stated purposes in the Privacy Notice. </t>
  </si>
  <si>
    <t>Limit the disclosure of personal data attributes to third parties only to the extent it is necessary to fulfil the purposes stated in the Privacy Notice.</t>
  </si>
  <si>
    <t xml:space="preserve">It is recommended to perform the following:
- Identify all personal data processing activities (using the system/application) carried out by the vendors and the purpose for carrying out the same.
- Identify the personal data attributes disclosed to the vendor for fulfilling the purpose for which they are carrying out personal data processing activities.
- Assess the necessity for disclosure of every single personal data attribute and identify redundant personal data disclosures.
- Restrict the disclosure to only those attributes that are necessary by removing all redundant personal data disclosures. </t>
  </si>
  <si>
    <t>There is no process that restricts data access only to authorized personnel</t>
  </si>
  <si>
    <t xml:space="preserve">Web Application Firewall is not installed to protect the system/application from malicious traffic.  </t>
  </si>
  <si>
    <t>Security Alert - Login Attempt from new device</t>
  </si>
  <si>
    <t xml:space="preserve">A strong password policy is not enforced on the system/application. </t>
  </si>
  <si>
    <t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t>
  </si>
  <si>
    <t xml:space="preserve">System/Application and the underlying databases should have the functionality to search, update and amend the personal data of the requested individual. </t>
  </si>
  <si>
    <t>Integrate privacy considerations from the initial stages of system/application development and throughout the Software Development Lifecycle.</t>
  </si>
  <si>
    <t xml:space="preserve">Enable audit logging on system/application to keep a track of activities carried out the Administrators and individuals. </t>
  </si>
  <si>
    <t xml:space="preserve">System/Application and the underlying databases should have the functionality to search, update and amend the personal data of the requested user. </t>
  </si>
  <si>
    <t xml:space="preserve">Integrate privacy considerations from the initial stages of system/application development and throughout the Software Development Lifecycle. </t>
  </si>
  <si>
    <t xml:space="preserve">Enable audit logging on system/application to keep a track of activities carried out by the Administrators and users. </t>
  </si>
  <si>
    <t xml:space="preserve">A strong password policy should be applied on the system/applications to safeguard from password attacks. </t>
  </si>
  <si>
    <t>Personal data stored in the underlying databases of systems/applications should be safeguarded with an appropriate level of encryption.</t>
  </si>
  <si>
    <t>System/Application and the underlying databases should have the functionality to search and retrieve a copy of personal data of the requested user in a machine readable format.</t>
  </si>
  <si>
    <t xml:space="preserve">Systems/applications should be subject to reviews and approvals from Privacy Team prior to their release. </t>
  </si>
  <si>
    <t>The system/application does not have the functionality in place to present the users (individuals) with a Privacy Notice at the time of collecting their personal data.</t>
  </si>
  <si>
    <t>It is recommended to perform the following:
- Implement a functionality to present the users (individuals) with a cookie consent banner and prompt the individual to select their cookie preferences on their first access. 
- Ensure that the web application stores only necessary cookies on the individuals device (and not other types of cookies), prior to obtaining consent.</t>
  </si>
  <si>
    <t>System/application does not have the functionality to obtain consent from users (individuals)</t>
  </si>
  <si>
    <t>It is recommended to perform the following: 
-  Implement a functionality to capture the timestamp of consent provided by the users (individuals) by integrating the system/application with a third party consent manager or via any other means (such as capturing the consent event by creating a digital record in the audit trial).</t>
  </si>
  <si>
    <t xml:space="preserve">System/application should present the users (individuals) with a Privacy Notice at the time of collecting their personal data. </t>
  </si>
  <si>
    <t xml:space="preserve">The privacy notice presented to users (individuals) should cover all aspects of personal data processing carried out by the system/application and should be in accordance with PDPPL requirements.  </t>
  </si>
  <si>
    <t>Any changes to personal data processing shall be notified to the users (individuals) without undue delay through displaying an updated privacy notice.</t>
  </si>
  <si>
    <t xml:space="preserve">System/application should prompt the users (individuals) to view the updated Privacy Notice upon their first access (post publishing the updated notice). System/application may also be integrated with an email gateway to send email communications to individuals on updates to the Privacy Notice contents. </t>
  </si>
  <si>
    <t xml:space="preserve">System/application should provide users (individuals) with information about the complaints mechanism. </t>
  </si>
  <si>
    <t xml:space="preserve">Website should notify the users (individuals) on the use of cookies by displaying a cookie policy. The cookie policy should clearly describe the types of cookies collected (First Party, Third Party, Session Cookies, Persistent cookies) along with the rationale for collecting them. </t>
  </si>
  <si>
    <t xml:space="preserve">Records of Processing Activities/Personal data inventories should be developed for all personal data processing activities carried out using the system/application. </t>
  </si>
  <si>
    <t xml:space="preserve">Retention policy should enforced on the system/application in accordance with the defined retention periods in such a manner that ensures personal data is disposed/anonymized post expiry of retention period. </t>
  </si>
  <si>
    <t xml:space="preserve">Individuals should be notified of all disclosures of personal data by third parties through the Privacy Notice. </t>
  </si>
  <si>
    <t xml:space="preserve">System/Application should be protected with a Web Application Firewall (WAF) to protect the underlying application from malicious traffic. </t>
  </si>
  <si>
    <r>
      <t xml:space="preserve">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Publish the Privacy Notice on the system/application.
- Identify all points of data collection within the system/application.
- Present the users (individuals) with a Privacy Notice across all points of data collection. 
</t>
    </r>
    <r>
      <rPr>
        <b/>
        <sz val="11"/>
        <color theme="1"/>
        <rFont val="Calibri"/>
        <family val="2"/>
        <scheme val="minor"/>
      </rPr>
      <t xml:space="preserve">
</t>
    </r>
    <r>
      <rPr>
        <b/>
        <u/>
        <sz val="11"/>
        <color theme="1"/>
        <rFont val="Calibri"/>
        <family val="2"/>
        <scheme val="minor"/>
      </rPr>
      <t>For further reference:</t>
    </r>
    <r>
      <rPr>
        <sz val="11"/>
        <color theme="1"/>
        <rFont val="Calibri"/>
        <family val="2"/>
        <scheme val="minor"/>
      </rPr>
      <t xml:space="preserve">
Privacy Notice - Guideline for Regulated Entities</t>
    </r>
  </si>
  <si>
    <r>
      <t xml:space="preserve">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Update the Privacy Notice template based on review comments.
- Publish the Privacy Notice on the system/application. 
</t>
    </r>
    <r>
      <rPr>
        <b/>
        <u/>
        <sz val="11"/>
        <color theme="1"/>
        <rFont val="Calibri"/>
        <family val="2"/>
        <scheme val="minor"/>
      </rPr>
      <t>For further reference:</t>
    </r>
    <r>
      <rPr>
        <b/>
        <sz val="11"/>
        <color theme="1"/>
        <rFont val="Calibri"/>
        <family val="2"/>
        <scheme val="minor"/>
      </rPr>
      <t xml:space="preserve">
</t>
    </r>
    <r>
      <rPr>
        <sz val="11"/>
        <color theme="1"/>
        <rFont val="Calibri"/>
        <family val="2"/>
        <scheme val="minor"/>
      </rPr>
      <t>Privacy Notice - Guideline for Regulated Entities</t>
    </r>
  </si>
  <si>
    <r>
      <t xml:space="preserve">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t>
    </r>
    <r>
      <rPr>
        <b/>
        <u/>
        <sz val="11"/>
        <color theme="1"/>
        <rFont val="Calibri"/>
        <family val="2"/>
        <scheme val="minor"/>
      </rPr>
      <t>For further reference:</t>
    </r>
    <r>
      <rPr>
        <i/>
        <u/>
        <sz val="11"/>
        <color theme="1"/>
        <rFont val="Calibri"/>
        <family val="2"/>
        <scheme val="minor"/>
      </rPr>
      <t xml:space="preserve">
</t>
    </r>
    <r>
      <rPr>
        <sz val="11"/>
        <color theme="1"/>
        <rFont val="Calibri"/>
        <family val="2"/>
        <scheme val="minor"/>
      </rPr>
      <t>Privacy Notice - Guideline for Regulated Entities</t>
    </r>
  </si>
  <si>
    <r>
      <t xml:space="preserve">It is recommended to perform the following: 
</t>
    </r>
    <r>
      <rPr>
        <b/>
        <sz val="11"/>
        <color theme="1"/>
        <rFont val="Calibri"/>
        <family val="2"/>
        <scheme val="minor"/>
      </rPr>
      <t>Option 1:</t>
    </r>
    <r>
      <rPr>
        <sz val="11"/>
        <color theme="1"/>
        <rFont val="Calibri"/>
        <family val="2"/>
        <scheme val="minor"/>
      </rPr>
      <t xml:space="preserve"> Implement a functionality in such a manner that the system/application prompts the users (individuals) to review and accept the updated Privacy Notice through a privacy banner. 
                                              </t>
    </r>
    <r>
      <rPr>
        <i/>
        <sz val="11"/>
        <color theme="1"/>
        <rFont val="Calibri"/>
        <family val="2"/>
        <scheme val="minor"/>
      </rPr>
      <t>(AND/OR)</t>
    </r>
    <r>
      <rPr>
        <sz val="11"/>
        <color theme="1"/>
        <rFont val="Calibri"/>
        <family val="2"/>
        <scheme val="minor"/>
      </rPr>
      <t xml:space="preserve">
</t>
    </r>
    <r>
      <rPr>
        <b/>
        <sz val="11"/>
        <color theme="1"/>
        <rFont val="Calibri"/>
        <family val="2"/>
        <scheme val="minor"/>
      </rPr>
      <t>Option 2:</t>
    </r>
    <r>
      <rPr>
        <sz val="11"/>
        <color theme="1"/>
        <rFont val="Calibri"/>
        <family val="2"/>
        <scheme val="minor"/>
      </rPr>
      <t xml:space="preserve"> Send email communications to all registered users (individuals) on updates made to Privacy Notice contents either manually or via an email gateway. 
</t>
    </r>
    <r>
      <rPr>
        <b/>
        <u/>
        <sz val="11"/>
        <color theme="1"/>
        <rFont val="Calibri"/>
        <family val="2"/>
        <scheme val="minor"/>
      </rPr>
      <t>For further reference:</t>
    </r>
    <r>
      <rPr>
        <u/>
        <sz val="11"/>
        <color theme="1"/>
        <rFont val="Calibri"/>
        <family val="2"/>
        <scheme val="minor"/>
      </rPr>
      <t xml:space="preserve">
</t>
    </r>
    <r>
      <rPr>
        <sz val="11"/>
        <color theme="1"/>
        <rFont val="Calibri"/>
        <family val="2"/>
        <scheme val="minor"/>
      </rPr>
      <t>Privacy Notice - Guideline for Regulated Entities</t>
    </r>
  </si>
  <si>
    <r>
      <t xml:space="preserve">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</si>
  <si>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r>
      <t xml:space="preserve"> It is recommended to perform the following:
- Identify all Third Parties that may have access to personal data processed by the system/application.
- Review the existing contractual agreements with the identified Third Parties (in Step 1), to evaluate if they contain relevant Privacy and Data Protection Clauses in accordance with PDPPL agreements and identify the contracts which do not contain adequate provisions.
- Update the contractual agreements which do not contain adequate provisions from a Privacy and Data Protection standpoint by ensuring clauses around the following are included: 
a) Purpose and scope of processing
b) Data Processing Instructions 
c) Data Protection and Security measures
d) Sub processing. 
</t>
    </r>
    <r>
      <rPr>
        <b/>
        <u/>
        <sz val="11"/>
        <color theme="1"/>
        <rFont val="Calibri"/>
        <family val="2"/>
        <scheme val="minor"/>
      </rPr>
      <t xml:space="preserve">For further reference: </t>
    </r>
    <r>
      <rPr>
        <b/>
        <sz val="11"/>
        <color theme="1"/>
        <rFont val="Calibri"/>
        <family val="2"/>
        <scheme val="minor"/>
      </rPr>
      <t xml:space="preserve">
</t>
    </r>
    <r>
      <rPr>
        <sz val="11"/>
        <color theme="1"/>
        <rFont val="Calibri"/>
        <family val="2"/>
        <scheme val="minor"/>
      </rPr>
      <t>Controller and Processor - Guideline for Regulated Entities</t>
    </r>
  </si>
  <si>
    <t xml:space="preserve">It is recommended that all in-app permissions remain turned off by default and request the user (individual) for permission prior to accessing/using the relevant system resource (such as location, photos, camera, etc.). </t>
  </si>
  <si>
    <r>
      <t>It is recommended to perform the following: 
- At the time of registration or across all other points of data collection (if registration is not mandatory), present the users (individuals) with a consent statement which requires an opt-in from the them via a checkbox.  
- The consent statement should reference the Privacy Notice and state that "You agree to us processing your personal data in accordance with our Privacy Notice" or have any other statement with the same intent. 
- Hyperlink the words "</t>
    </r>
    <r>
      <rPr>
        <i/>
        <sz val="11"/>
        <color theme="1"/>
        <rFont val="Calibri"/>
        <family val="2"/>
        <scheme val="minor"/>
      </rPr>
      <t>Privacy Notice</t>
    </r>
    <r>
      <rPr>
        <sz val="11"/>
        <color theme="1"/>
        <rFont val="Calibri"/>
        <family val="2"/>
        <scheme val="minor"/>
      </rPr>
      <t xml:space="preserve">" in consent statement with the URL of the applicable Privacy Notice.   </t>
    </r>
  </si>
  <si>
    <r>
      <t xml:space="preserve">It is recommended to perform the following:
- Include a section on complaints mechanism with relevant contact details in the Privacy Notice.
</t>
    </r>
    <r>
      <rPr>
        <b/>
        <i/>
        <sz val="11"/>
        <color theme="1"/>
        <rFont val="Calibri"/>
        <family val="2"/>
        <scheme val="minor"/>
      </rPr>
      <t xml:space="preserve">                                                       </t>
    </r>
    <r>
      <rPr>
        <i/>
        <sz val="11"/>
        <color theme="1"/>
        <rFont val="Calibri"/>
        <family val="2"/>
        <scheme val="minor"/>
      </rPr>
      <t xml:space="preserve">(OR) </t>
    </r>
    <r>
      <rPr>
        <sz val="11"/>
        <color theme="1"/>
        <rFont val="Calibri"/>
        <family val="2"/>
        <scheme val="minor"/>
      </rPr>
      <t xml:space="preserve">
- Create a section within the system/application's user interface dedicated for complaints and include a category of privacy related complaints.
- Establish a workflow in such a manner that complaints are forwarded to the privacy team's mail box if they fall under the category of "</t>
    </r>
    <r>
      <rPr>
        <i/>
        <sz val="11"/>
        <color theme="1"/>
        <rFont val="Calibri"/>
        <family val="2"/>
        <scheme val="minor"/>
      </rPr>
      <t>Privacy</t>
    </r>
    <r>
      <rPr>
        <sz val="11"/>
        <color theme="1"/>
        <rFont val="Calibri"/>
        <family val="2"/>
        <scheme val="minor"/>
      </rPr>
      <t xml:space="preserve">". 
</t>
    </r>
    <r>
      <rPr>
        <b/>
        <u/>
        <sz val="11"/>
        <color theme="1"/>
        <rFont val="Calibri"/>
        <family val="2"/>
        <scheme val="minor"/>
      </rPr>
      <t>For further reference</t>
    </r>
    <r>
      <rPr>
        <b/>
        <sz val="11"/>
        <color theme="1"/>
        <rFont val="Calibri"/>
        <family val="2"/>
        <scheme val="minor"/>
      </rPr>
      <t xml:space="preserve">: 
</t>
    </r>
    <r>
      <rPr>
        <sz val="11"/>
        <color theme="1"/>
        <rFont val="Calibri"/>
        <family val="2"/>
        <scheme val="minor"/>
      </rPr>
      <t>Individuals’ Complaints - Guideline for Regulated Entities</t>
    </r>
  </si>
  <si>
    <r>
      <t xml:space="preserve">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t>
    </r>
    <r>
      <rPr>
        <b/>
        <sz val="11"/>
        <color theme="1"/>
        <rFont val="Calibri"/>
        <family val="2"/>
        <scheme val="minor"/>
      </rPr>
      <t xml:space="preserve">Guidance on Cookie policy contents: </t>
    </r>
    <r>
      <rPr>
        <sz val="11"/>
        <color theme="1"/>
        <rFont val="Calibri"/>
        <family val="2"/>
        <scheme val="minor"/>
      </rPr>
      <t xml:space="preserve">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t>
    </r>
  </si>
  <si>
    <r>
      <t xml:space="preserve">It is recommended to perform the following:
- Develop a clear and standardized privacy review process that outlines the steps and requirements for conducting privacy assessments before any system/application release.
- Identify underlying risks in the systems/applications through carrying out a Data Protection Impact Assessment.
- Implement requisite controls to minimize the identified risks.
- Post taking measures to mitigate the identified risks, circulate the same to Privacy Office and obtain their buy-in/approval on the system/application. 
</t>
    </r>
    <r>
      <rPr>
        <b/>
        <u/>
        <sz val="11"/>
        <color theme="1"/>
        <rFont val="Calibri"/>
        <family val="2"/>
        <scheme val="minor"/>
      </rPr>
      <t>For further reference:</t>
    </r>
    <r>
      <rPr>
        <sz val="11"/>
        <color theme="1"/>
        <rFont val="Calibri"/>
        <family val="2"/>
        <scheme val="minor"/>
      </rPr>
      <t xml:space="preserve"> 
Data Privacy Impact Assessment (DPIA) - Guideline for Regulated Entities</t>
    </r>
  </si>
  <si>
    <t xml:space="preserve">It is recommended to perform the following:
- Identify and finalize strong and secure encryption algorithm with sufficient key length for data at rest.
- Establish a secure key management system to generate, store, and manage encryption keys.
- Apply either table level encryption or column level encryption depending on the sensitivity of underlying data. </t>
  </si>
  <si>
    <t>It is recommended to perform the following:
- Identify all system/application components which requires to be subject to vulnerability scans.
- Subject the system/application components to internal and external vulnerability scans to unearth underlying vulnerabilities.</t>
  </si>
  <si>
    <t xml:space="preserve">It is recommended to perform the following:
- Define a password policy depending on the criticality of the application (with strength of policy proportional to the criticality of the application) by factoring various parameters such as password length, password complexity, password history, password expiry, etc. 
- Implement password validation logic to check if a new or changed password meets the defined requirements and ensure passwords are stored in a hashed and salted format in the database. 
- Implement a secure password recovery process, such as sending password reset links via email or SMS. </t>
  </si>
  <si>
    <t xml:space="preserve">It is recommended to perform the following:
- Select and finalize two methods of authentication (something you know, something you have and something you have).
- Integrate the finalized authentication methods with the existing mechanism that allows users to authenticate their identity for accessing the system/application.
- Notify users about the 2FA methods with clear instructions on how to enroll and gain access to the system/application.  </t>
  </si>
  <si>
    <t>It is recommended to perform the following:
- Identify and finalize a suitable WAF solution that meets the security requirements of the system/application.
- Finalize on the deployment mode of WAF (Cloud based WAF and On-premises WAF).
- Customize the WAF rules based on the analysis to protect against common web application attacks such as SQL injection, cross-site scripting (XSS), cross-site request forgery (CSRF), etc.</t>
  </si>
  <si>
    <t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t>
  </si>
  <si>
    <t>Individual Rights</t>
  </si>
  <si>
    <r>
      <t xml:space="preserve">It is recommended to perform the following:
- Present the users with a dashboard that allows individuals to access and manage their personal data.
- </t>
    </r>
    <r>
      <rPr>
        <u/>
        <sz val="11"/>
        <color theme="1"/>
        <rFont val="Calibri"/>
        <family val="2"/>
        <scheme val="minor"/>
      </rPr>
      <t>Access</t>
    </r>
    <r>
      <rPr>
        <sz val="11"/>
        <color theme="1"/>
        <rFont val="Calibri"/>
        <family val="2"/>
        <scheme val="minor"/>
      </rPr>
      <t xml:space="preserve">:  Develop requisite functionalities that allows users to view their data in a machine readable format using the dashboard created.
- </t>
    </r>
    <r>
      <rPr>
        <u/>
        <sz val="11"/>
        <color theme="1"/>
        <rFont val="Calibri"/>
        <family val="2"/>
        <scheme val="minor"/>
      </rPr>
      <t>Update</t>
    </r>
    <r>
      <rPr>
        <sz val="11"/>
        <color theme="1"/>
        <rFont val="Calibri"/>
        <family val="2"/>
        <scheme val="minor"/>
      </rPr>
      <t xml:space="preserve">: Develop requisite functionalities that allows users to update their data via the user dashboard and implement data validation checks to preserve data accuracy and prevent erroneous data entries. 
- </t>
    </r>
    <r>
      <rPr>
        <u/>
        <sz val="11"/>
        <color theme="1"/>
        <rFont val="Calibri"/>
        <family val="2"/>
        <scheme val="minor"/>
      </rPr>
      <t>Delete</t>
    </r>
    <r>
      <rPr>
        <sz val="11"/>
        <color theme="1"/>
        <rFont val="Calibri"/>
        <family val="2"/>
        <scheme val="minor"/>
      </rPr>
      <t xml:space="preserve">: Develop requisite functionalities that allows users to delete their data via the user dashboard.
</t>
    </r>
    <r>
      <rPr>
        <b/>
        <u/>
        <sz val="11"/>
        <color theme="1"/>
        <rFont val="Calibri"/>
        <family val="2"/>
        <scheme val="minor"/>
      </rPr>
      <t xml:space="preserve">For further reference: </t>
    </r>
    <r>
      <rPr>
        <sz val="11"/>
        <color theme="1"/>
        <rFont val="Calibri"/>
        <family val="2"/>
        <scheme val="minor"/>
      </rPr>
      <t xml:space="preserve">
Individuals’ Rights - Guidelines for Regulated Entities</t>
    </r>
  </si>
  <si>
    <r>
      <t xml:space="preserve">It is recommended to perform the following:
- Develop a data search mechanism that allows for all the instances of requested individual's data to be located within the system/application and it's underlying databases.
- Upon locating the requested data,  delete all instances of the data as per the request received.  
</t>
    </r>
    <r>
      <rPr>
        <b/>
        <u/>
        <sz val="11"/>
        <color theme="1"/>
        <rFont val="Calibri"/>
        <family val="2"/>
        <scheme val="minor"/>
      </rPr>
      <t>For further reference:</t>
    </r>
    <r>
      <rPr>
        <sz val="11"/>
        <color theme="1"/>
        <rFont val="Calibri"/>
        <family val="2"/>
        <scheme val="minor"/>
      </rPr>
      <t xml:space="preserve">
Individuals’ Rights - Guidelines for Regulated Entities</t>
    </r>
  </si>
  <si>
    <r>
      <t xml:space="preserve">It is recommended to perform the following:
- Develop a data search mechanism that allows for all the instances of requested individual's data to be located within the system/application and it's underlying databases.
- Upon locating the requested data, amend all instances of the data as per the request received.  
</t>
    </r>
    <r>
      <rPr>
        <b/>
        <u/>
        <sz val="11"/>
        <color theme="1"/>
        <rFont val="Calibri"/>
        <family val="2"/>
        <scheme val="minor"/>
      </rPr>
      <t>For further reference:</t>
    </r>
    <r>
      <rPr>
        <sz val="11"/>
        <color theme="1"/>
        <rFont val="Calibri"/>
        <family val="2"/>
        <scheme val="minor"/>
      </rPr>
      <t xml:space="preserve"> 
Individuals’ Rights - Guidelines for Regulated Entities</t>
    </r>
  </si>
  <si>
    <t xml:space="preserve">It is recommended to perform the following:
- Involve Privacy Office in the early stages of system/application development lifecycle and obtain their inputs with regards to identifying potential privacy risks and designing appropriate mitigation controls.
- Conduct Data Privacy Impact Assessments (DPIAs) at the design phase to identify and evaluate privacy risks.
- Include privacy requirements as part of the project's functional and technical specifications and track the implementation of the same. </t>
  </si>
  <si>
    <t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t>
  </si>
  <si>
    <r>
      <t xml:space="preserve">It is recommended to perform the following:
- Develop a data search mechanism that allows for the requested individual's data to be located within the system/application and it's underlying databases.
- Upon locating the requested data,  retrieve and convert the same to machine-readable format.
</t>
    </r>
    <r>
      <rPr>
        <b/>
        <u/>
        <sz val="11"/>
        <color theme="1"/>
        <rFont val="Calibri"/>
        <family val="2"/>
        <scheme val="minor"/>
      </rPr>
      <t xml:space="preserve">
For further reference: 
</t>
    </r>
    <r>
      <rPr>
        <sz val="11"/>
        <color theme="1"/>
        <rFont val="Calibri"/>
        <family val="2"/>
        <scheme val="minor"/>
      </rPr>
      <t>Individuals’ Rights - Guidelines for Regulated Entities</t>
    </r>
  </si>
  <si>
    <t xml:space="preserve">Appropriate measures should be in place to ensure personal data processed by the system/application are accurate and kept up-to date. </t>
  </si>
  <si>
    <r>
      <t xml:space="preserve">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</si>
  <si>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r>
      <t xml:space="preserve">It is recommended to perform the following:
- Identify all processing activities carried out using the system/application.
- Develop a Record of all the identified processing activities by inventorizing all personal data attributes processed by the system.
- Review and update the Records of processing activity on a periodic basis. 
</t>
    </r>
    <r>
      <rPr>
        <b/>
        <u/>
        <sz val="11"/>
        <color theme="1"/>
        <rFont val="Calibri"/>
        <family val="2"/>
        <scheme val="minor"/>
      </rPr>
      <t>For further reference:</t>
    </r>
    <r>
      <rPr>
        <sz val="11"/>
        <color theme="1"/>
        <rFont val="Calibri"/>
        <family val="2"/>
        <scheme val="minor"/>
      </rPr>
      <t xml:space="preserve">
Record of Processing Activities - Guideline for Regulated Entities</t>
    </r>
  </si>
  <si>
    <r>
      <t xml:space="preserve">It is recommended to perform the following: 
- Provide individuals an opt out link to withdraw consent within the system/application. Post clicking on the opt-out link, update the consent status of the user (individual) and cease processing of personal data. 
</t>
    </r>
    <r>
      <rPr>
        <b/>
        <sz val="11"/>
        <color theme="1"/>
        <rFont val="Calibri"/>
        <family val="2"/>
        <scheme val="minor"/>
      </rPr>
      <t xml:space="preserve">                                                       (OR)</t>
    </r>
    <r>
      <rPr>
        <sz val="11"/>
        <color theme="1"/>
        <rFont val="Calibri"/>
        <family val="2"/>
        <scheme val="minor"/>
      </rPr>
      <t xml:space="preserve">
- Notify users (individuals) on the means to withdraw consent in the Privacy Notice by providing relevant contact details for exercising the same.
- Upon receiving such a request, update the consent status of the requested user (individual) and cease processing of personal data. </t>
    </r>
  </si>
  <si>
    <t xml:space="preserve">It is recommended to perform the following:
- Define a session timeout policy for the system/application depending on its criticality (idle time session time out must be low for critical systems/applications and high for lesser critical systems/applications).
-  Implement a mechanism to track user activity and update the session status via running server side tracking or client side scripts. 
- Implement a mechanism to log out the user from the system/application in accordance with the session timeout policy. </t>
  </si>
  <si>
    <t>What is the current architecture type? (e.g. Monolith, microservices, etc.)</t>
  </si>
  <si>
    <t xml:space="preserve">The Privacy by Design approach should be proactive rather than reactive. </t>
  </si>
  <si>
    <t xml:space="preserve">Privacy as the Default </t>
  </si>
  <si>
    <t>Privacy by Design seeks to deliver the maximum degree of privacy by ensuring that personal data are automatically protected in any given IT system or business practice. No action is required on the part of the individual to protect their privacy − it is built into the system, by default.</t>
  </si>
  <si>
    <t xml:space="preserve">Privacy by Design is embedded into the design and architecture of IT systems and business practices. It is not an afterthought. </t>
  </si>
  <si>
    <t>Positive-Sum, not Zero-Sum: Privacy by Design seeks to accommodate all legitimate interests and objectives in a positive-sum “win win” manner, not through a zero-sum approach, where unnecessary trade-offs are made.</t>
  </si>
  <si>
    <t xml:space="preserve">Privacy by Design, extends securely throughout the entire lifecycle of the data involved — strong security measures are essential to privacy, from start to finish. All data are securely retained, and then securely destroyed at the end of the process, in a timely fashion. </t>
  </si>
  <si>
    <t xml:space="preserve">Privacy by Design assures all stakeholders that processing activities are operating according to the stated promises and objectives. Its component parts and operations remain visible and transparent, to both users and providers alike. </t>
  </si>
  <si>
    <t xml:space="preserve">Above all, Privacy by Design requires architects and operators to keep the interests of the individual uppermost by offering such measures as strong privacy defaults, appropriate privacy notices, and providing user-friendly choices to empower individuals. </t>
  </si>
  <si>
    <t xml:space="preserve">Scope and Applicability </t>
  </si>
  <si>
    <t>What is the need to conduct Privacy by Design Assessments?</t>
  </si>
  <si>
    <t xml:space="preserve">Privacy by Design (PbD) assessments play a significant role in safeguarding the individuals' privacy and personal information throughout the development lifecycle of systems and applications. The significance of Privacy by Design assessments stems from several pivotal factors, all focused on the below core objectives:
- 	Ensuring Regulatory compliance
- 	Managing and reducing Privacy risks
- 	Minimizing post development costs
- 	Improves individual trust
- 	Compliance with Privacy principles such as data minimization, purpose limitation and storage limitation 
- 	Increases competitive advantage. </t>
  </si>
  <si>
    <t xml:space="preserve">Respect for User Privacy
Privacy as the Default
Privacy embedded into Design
Positive Sum, not Zero Sum </t>
  </si>
  <si>
    <t>Respect for User Privacy
Privacy as the Default
Privacy embedded into Design</t>
  </si>
  <si>
    <t>Proactive not Reactive
Privacy as the Default</t>
  </si>
  <si>
    <t>Proactive not Reactive
Respect for User Privacy
Privacy as the Default</t>
  </si>
  <si>
    <t>Proactive not Reactive
Privacy as the Default
Privacy Embedded into Design</t>
  </si>
  <si>
    <t>IR_1</t>
  </si>
  <si>
    <t>IR_2</t>
  </si>
  <si>
    <t>IR_3</t>
  </si>
  <si>
    <t>IR_4</t>
  </si>
  <si>
    <t xml:space="preserve"> It is recommended to perform the following:
- Identify all Third Parties that may have access to personal data processed by the system/application.
- Update that the Privacy Notice (linked to the system/application) with the list of Third Parties which may have access to personal data processed by system/application. </t>
  </si>
  <si>
    <t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t>
  </si>
  <si>
    <r>
      <t xml:space="preserve">The control library that is used to assess the systems and applications can be categorized to the below seven domains:
</t>
    </r>
    <r>
      <rPr>
        <b/>
        <sz val="11"/>
        <color theme="1"/>
        <rFont val="Calibri"/>
        <family val="2"/>
        <scheme val="minor"/>
      </rPr>
      <t>- Transparency</t>
    </r>
    <r>
      <rPr>
        <sz val="11"/>
        <color theme="1"/>
        <rFont val="Calibri"/>
        <family val="2"/>
        <scheme val="minor"/>
      </rPr>
      <t xml:space="preserve"> : Being open and honest about privacy practices with regards to the underlying processing activities carried out using the systems and applications. 
</t>
    </r>
    <r>
      <rPr>
        <b/>
        <sz val="11"/>
        <color theme="1"/>
        <rFont val="Calibri"/>
        <family val="2"/>
        <scheme val="minor"/>
      </rPr>
      <t>- Consent Management</t>
    </r>
    <r>
      <rPr>
        <sz val="11"/>
        <color theme="1"/>
        <rFont val="Calibri"/>
        <family val="2"/>
        <scheme val="minor"/>
      </rPr>
      <t xml:space="preserve">: Managing the individuals consent across the consent lifecycle starting from recording consent to withdrawal of the same within the systems and applications. 
</t>
    </r>
    <r>
      <rPr>
        <b/>
        <sz val="11"/>
        <color theme="1"/>
        <rFont val="Calibri"/>
        <family val="2"/>
        <scheme val="minor"/>
      </rPr>
      <t>- Data Lifecycle Management</t>
    </r>
    <r>
      <rPr>
        <sz val="11"/>
        <color theme="1"/>
        <rFont val="Calibri"/>
        <family val="2"/>
        <scheme val="minor"/>
      </rPr>
      <t xml:space="preserve">: Managing the personal data across its lifecycle starting from creation/collection to disposal and how it is carried out within the underlying systems and applications.
</t>
    </r>
    <r>
      <rPr>
        <b/>
        <sz val="11"/>
        <color theme="1"/>
        <rFont val="Calibri"/>
        <family val="2"/>
        <scheme val="minor"/>
      </rPr>
      <t>- Disclosures</t>
    </r>
    <r>
      <rPr>
        <sz val="11"/>
        <color theme="1"/>
        <rFont val="Calibri"/>
        <family val="2"/>
        <scheme val="minor"/>
      </rPr>
      <t xml:space="preserve">: Measures towards limiting and safeguarding data disclosures to third party systems and vendors which are supporting the underlying systems and applications. 
</t>
    </r>
    <r>
      <rPr>
        <b/>
        <sz val="11"/>
        <color theme="1"/>
        <rFont val="Calibri"/>
        <family val="2"/>
        <scheme val="minor"/>
      </rPr>
      <t>- Security for Privacy</t>
    </r>
    <r>
      <rPr>
        <sz val="11"/>
        <color theme="1"/>
        <rFont val="Calibri"/>
        <family val="2"/>
        <scheme val="minor"/>
      </rPr>
      <t xml:space="preserve">: Technical and organizational measures towards safeguarding personal data processed by systems and applications.  
</t>
    </r>
    <r>
      <rPr>
        <b/>
        <sz val="11"/>
        <color theme="1"/>
        <rFont val="Calibri"/>
        <family val="2"/>
        <scheme val="minor"/>
      </rPr>
      <t>- Individual Rights:</t>
    </r>
    <r>
      <rPr>
        <sz val="11"/>
        <color theme="1"/>
        <rFont val="Calibri"/>
        <family val="2"/>
        <scheme val="minor"/>
      </rPr>
      <t xml:space="preserve"> Functionalities implemented within the systems and applications towards allowing the individuals to exercise their rights.
</t>
    </r>
    <r>
      <rPr>
        <b/>
        <sz val="11"/>
        <color theme="1"/>
        <rFont val="Calibri"/>
        <family val="2"/>
        <scheme val="minor"/>
      </rPr>
      <t>- Privacy in System Development:</t>
    </r>
    <r>
      <rPr>
        <sz val="11"/>
        <color theme="1"/>
        <rFont val="Calibri"/>
        <family val="2"/>
        <scheme val="minor"/>
      </rPr>
      <t xml:space="preserve"> Measures in place to ensure privacy considerations are factored in while developing/upgrading the systems and applications.</t>
    </r>
  </si>
  <si>
    <t>PLEASE READ THE BELOW BEFORE PROCEEDING WITH THE TOOL</t>
  </si>
  <si>
    <t>Filler</t>
  </si>
  <si>
    <t>LIST OF UPSTREAM AND DOWNSTREAM APPLICATIONS</t>
  </si>
  <si>
    <t>APPLICATION HOSTING DETAILS</t>
  </si>
  <si>
    <t>APPLICATION ARCHITECTURE</t>
  </si>
  <si>
    <t>DETAILS OF THE ASSESSOR</t>
  </si>
  <si>
    <t>DATE OF THE ASSESSMENT</t>
  </si>
  <si>
    <t>NAME OF THE ORGANIZATION</t>
  </si>
  <si>
    <t xml:space="preserve">What is the name of the organization? </t>
  </si>
  <si>
    <t>Date of performing the Assessment?</t>
  </si>
  <si>
    <t>Who is performing the Assessment? (Name and Designation)</t>
  </si>
  <si>
    <t>THIRD PARTIES INVOLVED</t>
  </si>
  <si>
    <t>If the answer to the above question is "Yes", please mention the list of external parties involved</t>
  </si>
  <si>
    <t>NAME OF THE APPLICATION</t>
  </si>
  <si>
    <t>DETAILS OF PROCESSING ACTIVITIES CARRIED OUT</t>
  </si>
  <si>
    <t xml:space="preserve">PERSONAL DATA ATTRIBUTES PROCESSED </t>
  </si>
  <si>
    <t>Type of Application</t>
  </si>
  <si>
    <t>Privacy by Design Assessment Report</t>
  </si>
  <si>
    <t>Overview about the Application</t>
  </si>
  <si>
    <t>Assessment Results - Dashboard</t>
  </si>
  <si>
    <r>
      <t xml:space="preserve">It is recommended to perform the following:
- Provide a functionality for the individuals to review and update their personal information.
- Send a periodic reminder to the individuals to review and update their personal data. 
</t>
    </r>
    <r>
      <rPr>
        <b/>
        <u/>
        <sz val="11"/>
        <color theme="1"/>
        <rFont val="Calibri"/>
        <family val="2"/>
        <scheme val="minor"/>
      </rPr>
      <t xml:space="preserve">For further reference: 
</t>
    </r>
    <r>
      <rPr>
        <sz val="11"/>
        <color theme="1"/>
        <rFont val="Calibri"/>
        <family val="2"/>
        <scheme val="minor"/>
      </rPr>
      <t>Principles of Data Privacy - Guideline for Regulated Entities</t>
    </r>
  </si>
  <si>
    <t xml:space="preserve">It is recommended to perform the following:
- Define a threshold value for the number of incorrect logon attempts depending on the criticality of system/application.
- Define the account lockout policy in such a manner that it locks out the user's account temporarily for a specific duration or indefinitely until intervention by an administrator.
- Implement the account lockout policy on the system/application accordingly. </t>
  </si>
  <si>
    <t>.</t>
  </si>
  <si>
    <t>.
.
.
.</t>
  </si>
  <si>
    <t>.
.
.
.
.
.</t>
  </si>
  <si>
    <t>.
.
.
.
.
.
.
.</t>
  </si>
  <si>
    <t>.
.</t>
  </si>
  <si>
    <t xml:space="preserve">.
.
.
.
</t>
  </si>
  <si>
    <t>How to perform the assessment?</t>
  </si>
  <si>
    <t>What are the various effectiveness levels?</t>
  </si>
  <si>
    <t>What are the various sheets within the workbook?</t>
  </si>
  <si>
    <t>References used to build this tool</t>
  </si>
  <si>
    <t>System/application should have the functionality to maintain records the consent obtained from users (individuals). 
//*applicable if consent is identified as the permitted reason/lawful basis for processing personal data*//</t>
  </si>
  <si>
    <t>System/application should have the functionality to obtain the user's consent prior to collecting personal data.  
//*applicable if consent is identified as the permitted reason/lawful basis for processing personal data*//</t>
  </si>
  <si>
    <t>System/application should provide the users (individuals) with an option to withdraw their consent. 
//*applicable if consent is identified as the permitted reason/lawful basis for processing personal data*//</t>
  </si>
  <si>
    <t>Upon a user's first access to a system/application, they should be presented with a cookie consent banner for managing their cookie preferences. Until a user chooses his/her cookie preferences, only necessary cookies required for functioning of the website should be used. 
//*applicable for web applications*//</t>
  </si>
  <si>
    <t>All in-app permissions should be turned off by default. 
//*applicable for mobile apps*//</t>
  </si>
  <si>
    <t xml:space="preserve">PbD Score: </t>
  </si>
  <si>
    <t>PSD_3</t>
  </si>
  <si>
    <t xml:space="preserve">Is this system/application used by individuals(data subjects)? </t>
  </si>
  <si>
    <t xml:space="preserve">
The creators and providers of this tool, Qatar National Data Privacy Office (NDPO), disclaim any liability for the use or interpretation of this report and do not assume any responsibility for the consequences of decisions or actions taken based on the information contained herein. Organizations are ultimately responsible for their privacy practices and compliance efforts by regularly reviewing and updating relevant privacy policies and practices to maintain ongoing compliance.
</t>
  </si>
  <si>
    <r>
      <t xml:space="preserve">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 Identify all personal data attributes that are captured by the system/application.
- Review if the personal data fields that are captured by the system/application are necessary for the processing activities and remove any excessive data fields.
</t>
    </r>
    <r>
      <rPr>
        <b/>
        <u/>
        <sz val="11"/>
        <color theme="1"/>
        <rFont val="Calibri"/>
        <family val="2"/>
        <scheme val="minor"/>
      </rPr>
      <t>For further reference:</t>
    </r>
    <r>
      <rPr>
        <sz val="11"/>
        <color theme="1"/>
        <rFont val="Calibri"/>
        <family val="2"/>
        <scheme val="minor"/>
      </rPr>
      <t xml:space="preserve"> 
Principles of Data Privacy - Guideline for Regulated Entities</t>
    </r>
  </si>
  <si>
    <r>
      <t xml:space="preserve">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</si>
  <si>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t xml:space="preserve">It is recommended to perform the following:
- Privacy Office along with relevant stakeholders (eg. owners and users of Applications and Systems, BU Heads) should determine if there are any use cases for Anonymization/De-identification of personal data contained in the application/system.
- Upon identification of use cases, relevant technique for data anonymization (such as Data Masking, Generalization, Data swapping, Data perturbation, etc.) should be identified
- Perform data anonymization in accordance with technique identified.
- Perform periodic reviews to inspect if the anonymization technique is implemented adequately. </t>
  </si>
  <si>
    <r>
      <t xml:space="preserve">It is recommended to perform the following: 
- Identify all personal data processed by the application/system.
- Identify and finalize the retention period for each of the personal data attribute processed by the application/system depending on business requirement and/or legal requirement. Factors such as data sensitivity, industry specific regulations and contractual obligations should be factored in.  
- Retention periods identified should be defined and documented in a retention schedule.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</si>
  <si>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t>The controls used in the tool are primarily built on top of the below:
- PDPPL Requirements 
- Privacy by Design Principles.</t>
  </si>
  <si>
    <r>
      <rPr>
        <b/>
        <sz val="11"/>
        <color theme="1"/>
        <rFont val="Calibri"/>
        <family val="2"/>
        <scheme val="minor"/>
      </rPr>
      <t xml:space="preserve">Read this first: </t>
    </r>
    <r>
      <rPr>
        <sz val="11"/>
        <color theme="1"/>
        <rFont val="Calibri"/>
        <family val="2"/>
        <scheme val="minor"/>
      </rPr>
      <t xml:space="preserve">This sheet provides an overview of what the tool is all about and how it is meant to be used. It also provides additional information on domains covered and privacy by design principles. 
</t>
    </r>
    <r>
      <rPr>
        <b/>
        <sz val="11"/>
        <color theme="1"/>
        <rFont val="Calibri"/>
        <family val="2"/>
        <scheme val="minor"/>
      </rPr>
      <t xml:space="preserve">Initial Information Request: </t>
    </r>
    <r>
      <rPr>
        <sz val="11"/>
        <color theme="1"/>
        <rFont val="Calibri"/>
        <family val="2"/>
        <scheme val="minor"/>
      </rPr>
      <t xml:space="preserve">This sheet will have to be populated and this will provide an overview about the system/application. Based on responses to certain questions, controls that are applicable to the in-scope system/application may vary. 
</t>
    </r>
    <r>
      <rPr>
        <b/>
        <sz val="11"/>
        <color theme="1"/>
        <rFont val="Calibri"/>
        <family val="2"/>
        <scheme val="minor"/>
      </rPr>
      <t xml:space="preserve">Assessment </t>
    </r>
    <r>
      <rPr>
        <sz val="11"/>
        <color theme="1"/>
        <rFont val="Calibri"/>
        <family val="2"/>
        <scheme val="minor"/>
      </rPr>
      <t xml:space="preserve">: This sheet lists down </t>
    </r>
    <r>
      <rPr>
        <b/>
        <sz val="12"/>
        <color theme="1"/>
        <rFont val="Calibri"/>
        <family val="2"/>
        <scheme val="minor"/>
      </rPr>
      <t>43 controls spread across seven domains</t>
    </r>
    <r>
      <rPr>
        <sz val="11"/>
        <color theme="1"/>
        <rFont val="Calibri"/>
        <family val="2"/>
        <scheme val="minor"/>
      </rPr>
      <t xml:space="preserve"> that are to be tested for effectiveness from a Privacy by Design standpoint. Stakeholders should populate the columns 'Effectiveness Status' and 'Observation'. Upon clicking the 'Produce Report' Button that is placed at the end of the control listing, an automated PDF format report is generated using excel macros. </t>
    </r>
  </si>
  <si>
    <t>This Excel-based assessment tool has been developed with the primary purpose of evaluating whether systems and applications engaged in the processing of personal data incorporate the necessary functionalities in accordance with the principles of Privacy by Design and the requirements stipulated in the Personal Data Privacy Protection Law (PDPPL).
It is essential to emphasize that this tool is specifically designed for assessing the functionality of systems and applications concerning data privacy and should not be utilized to gauge an organization's overall compliance status. The assessment encompasses controls that extend beyond the regulatory framework established by the PDPPL.
Following the completion of the assessment, a comprehensive report will be generated. This report will provide a detailed summary of all identified privacy gaps, accompanied by relevant recommendations and guidance.
Please take note that the current version of this tool is in its beta phase, and our team is actively engaged in enhancing its features. We anticipate releasing another iteration next year and warmly welcome any feedback you may have during this interim period.</t>
  </si>
  <si>
    <t xml:space="preserve">The scope of this assessment is specifically limited to systems and applications involved in the processing of personal data. With regards to the stakeholders, this applies to the Privacy Team, owners of systems and applications, IT Team, Information Security team and owners of processing activities carried out using the systems and applications. </t>
  </si>
  <si>
    <t>Scoring Criteria and Calculation</t>
  </si>
  <si>
    <r>
      <t xml:space="preserve">In terms of scoring, controls categorized as 'Not Applicable' are excluded from the scoring calculation. Controls assessed as 'Partially Effective' receive a score of 1, while those rated as 'Effective' receive a score of 2. Controls assessed as 'Ineffective' receive a score of 0.
To calculate the overall Privacy by Design (PbD) tool score, we use the following formula:
</t>
    </r>
    <r>
      <rPr>
        <b/>
        <sz val="12"/>
        <color theme="1"/>
        <rFont val="Calibri"/>
        <family val="2"/>
        <scheme val="minor"/>
      </rPr>
      <t>((Number of Effective Controls * 2) + Number of Partially Effective Controls * 1) / Total Number of Applicable Controls)) * 100</t>
    </r>
    <r>
      <rPr>
        <sz val="11"/>
        <color theme="1"/>
        <rFont val="Calibri"/>
        <family val="2"/>
        <scheme val="minor"/>
      </rPr>
      <t xml:space="preserve">
This formula provides a calibrated PbD tool score on a scale of 0 to 100, reflecting the effectiveness of controls applicable to the assessment. It considers fully effective, ineffective and partially effective controls while excluding those that are not applicable.</t>
    </r>
  </si>
  <si>
    <r>
      <rPr>
        <b/>
        <u/>
        <sz val="11"/>
        <color theme="1"/>
        <rFont val="Calibri"/>
        <family val="2"/>
        <scheme val="minor"/>
      </rPr>
      <t>Step 1: Formation of Assessment Team</t>
    </r>
    <r>
      <rPr>
        <sz val="11"/>
        <color theme="1"/>
        <rFont val="Calibri"/>
        <family val="2"/>
        <scheme val="minor"/>
      </rPr>
      <t xml:space="preserve">
To initiate the assessment process, assemble a dedicated assessment team comprising members from the Privacy Team and system/application owners. This collaborative team will be responsible for conducting the assessment.
</t>
    </r>
    <r>
      <rPr>
        <b/>
        <u/>
        <sz val="11"/>
        <color theme="1"/>
        <rFont val="Calibri"/>
        <family val="2"/>
        <scheme val="minor"/>
      </rPr>
      <t>Step 2: Initial Information Request</t>
    </r>
    <r>
      <rPr>
        <sz val="11"/>
        <color theme="1"/>
        <rFont val="Calibri"/>
        <family val="2"/>
        <scheme val="minor"/>
      </rPr>
      <t xml:space="preserve">
The assessor should begin by filling out the "Initial Information Request" sheet to identify the list of applicable controls. This step involves gathering essential information to kickstart the assessment process.
</t>
    </r>
    <r>
      <rPr>
        <b/>
        <u/>
        <sz val="11"/>
        <color theme="1"/>
        <rFont val="Calibri"/>
        <family val="2"/>
        <scheme val="minor"/>
      </rPr>
      <t>Step 3: Evaluate Control Effectiveness and Populate Effectiveness Status</t>
    </r>
    <r>
      <rPr>
        <sz val="11"/>
        <color theme="1"/>
        <rFont val="Calibri"/>
        <family val="2"/>
        <scheme val="minor"/>
      </rPr>
      <t xml:space="preserve">
The assessor should inspect the effectiveness of controls, as outlined in the "Assessment Sheet." In this step, the assessor examines each control's performance and how it aligns with established standards. Additionally, they should populate the "Effectiveness Status" column in the "Assessment Sheet" to document the assessment findings.
</t>
    </r>
    <r>
      <rPr>
        <b/>
        <u/>
        <sz val="11"/>
        <color theme="1"/>
        <rFont val="Calibri"/>
        <family val="2"/>
        <scheme val="minor"/>
      </rPr>
      <t>Step 4: Review and Document Control Observations</t>
    </r>
    <r>
      <rPr>
        <sz val="11"/>
        <color theme="1"/>
        <rFont val="Calibri"/>
        <family val="2"/>
        <scheme val="minor"/>
      </rPr>
      <t xml:space="preserve">
In the "Assessment Sheet," the assessor should focus on documenting their observations regarding control effectiveness. This involves populating the "Observation" column to provide detailed notes or comments based on their assessment of each control's performance. By concentrating on observations, this step helps create a comprehensive record of the assessment's outcomes without duplicating the evaluation of effectiveness status.
</t>
    </r>
    <r>
      <rPr>
        <b/>
        <u/>
        <sz val="11"/>
        <color theme="1"/>
        <rFont val="Calibri"/>
        <family val="2"/>
        <scheme val="minor"/>
      </rPr>
      <t xml:space="preserve">Step 5: Generate PDF Report
</t>
    </r>
    <r>
      <rPr>
        <sz val="11"/>
        <color theme="1"/>
        <rFont val="Calibri"/>
        <family val="2"/>
        <scheme val="minor"/>
      </rPr>
      <t xml:space="preserve">After evaluating control effectiveness and recording observations in the "Assessment Sheet," the assessor should proceed to click on the button labeled 'Produce Report.' This action will trigger the system to generate a comprehensive PDF report summarizing the assessment results.
</t>
    </r>
    <r>
      <rPr>
        <b/>
        <u/>
        <sz val="11"/>
        <color theme="1"/>
        <rFont val="Calibri"/>
        <family val="2"/>
        <scheme val="minor"/>
      </rPr>
      <t>Step 6: Review Recommendations</t>
    </r>
    <r>
      <rPr>
        <sz val="11"/>
        <color theme="1"/>
        <rFont val="Calibri"/>
        <family val="2"/>
        <scheme val="minor"/>
      </rPr>
      <t xml:space="preserve">
It's important to note that the recommendations generated by the tool are generic and based on industry best practices. The assessment team should carefully review these recommendations. They should consider tailoring the recommendations to align with the organization's specific environment and needs.</t>
    </r>
  </si>
  <si>
    <r>
      <t xml:space="preserve">There are four effectiveness levels for every control that are determined post testing the controls for their effectiveness. They are: 
- </t>
    </r>
    <r>
      <rPr>
        <b/>
        <sz val="11"/>
        <color rgb="FF00B050"/>
        <rFont val="Calibri"/>
        <family val="2"/>
        <scheme val="minor"/>
      </rPr>
      <t>Effective</t>
    </r>
    <r>
      <rPr>
        <sz val="11"/>
        <color theme="1"/>
        <rFont val="Calibri"/>
        <family val="2"/>
        <scheme val="minor"/>
      </rPr>
      <t xml:space="preserve">: This control is implemented and operating effectively 
- </t>
    </r>
    <r>
      <rPr>
        <b/>
        <sz val="11"/>
        <color theme="5"/>
        <rFont val="Calibri"/>
        <family val="2"/>
        <scheme val="minor"/>
      </rPr>
      <t>Partially Effective</t>
    </r>
    <r>
      <rPr>
        <sz val="11"/>
        <color theme="1"/>
        <rFont val="Calibri"/>
        <family val="2"/>
        <scheme val="minor"/>
      </rPr>
      <t xml:space="preserve">: Some aspects of the control are implemented and operating effectively
- </t>
    </r>
    <r>
      <rPr>
        <b/>
        <sz val="11"/>
        <color rgb="FFFF0000"/>
        <rFont val="Calibri"/>
        <family val="2"/>
        <scheme val="minor"/>
      </rPr>
      <t>Ineffective</t>
    </r>
    <r>
      <rPr>
        <sz val="11"/>
        <color theme="1"/>
        <rFont val="Calibri"/>
        <family val="2"/>
        <scheme val="minor"/>
      </rPr>
      <t xml:space="preserve">: The control is not implemented and is non existent
- </t>
    </r>
    <r>
      <rPr>
        <b/>
        <sz val="11"/>
        <color theme="0" tint="-0.499984740745262"/>
        <rFont val="Calibri"/>
        <family val="2"/>
        <scheme val="minor"/>
      </rPr>
      <t>Not Applicable</t>
    </r>
    <r>
      <rPr>
        <sz val="11"/>
        <color theme="1"/>
        <rFont val="Calibri"/>
        <family val="2"/>
        <scheme val="minor"/>
      </rPr>
      <t xml:space="preserve">: The control is not applicable to the underlying systems and applications. </t>
    </r>
  </si>
  <si>
    <t xml:space="preserve"> Macros</t>
  </si>
  <si>
    <t>The tool has been developed using Macros, and it is essential to excercise prudence by adhering to your organization's policy on macros usage. 
Enabling macros can enhance functionality but also presents potential security risks. Be vigilant about the source of the file and ensure it comes from a trusted and reputable source.
If you have any concerns or questions about enabling macros or if your organization restricts macro usage, we strongly recommend contacting your IT administrator or IT security team for guidance. Your cybersecurity and data security are paramount, and following these steps responsibly is essential to protect your systems and data.</t>
  </si>
  <si>
    <t>Copyright and Licensing Information</t>
  </si>
  <si>
    <t>Privacy by Design Assessment Tool © 2023 by National Data Privacy Office (NDPO) is licensed under Attribution-NonCommerical-NoDerivatives 4.0 International</t>
  </si>
  <si>
    <t>Uber</t>
  </si>
  <si>
    <t>16/05/2024</t>
  </si>
  <si>
    <t>Yes</t>
  </si>
  <si>
    <t>Transportation service application.</t>
  </si>
  <si>
    <t>Ali Ranjbar (student), Almabrouk Ben-Omran (student), Mohammed Ashjar (student).</t>
  </si>
  <si>
    <t>Uber's application is hosted across multiple cloud providers like Google Cloud Platform (GCP) and Oracle Cloud Infrastructure (OCI)</t>
  </si>
  <si>
    <t>Uber started with a monolithic architecture but has transitioned to a Domain-Oriented Microservice Architecture (DOMA)</t>
  </si>
  <si>
    <t>1- OAuth 2.0: For authorizing third-party applications to access user data without exposing credentials.                                                                                                                                                                                                  2- JWT (JSON Web Tokens): Used for securely transmitting information between parties as a JSON object.
3- Multi-Factor Authentication (MFA): Adds an extra layer of security by requiring users to provide two or more verification factors.
4- API Keys: For service-to-service authentication within their microservices architecture.</t>
  </si>
  <si>
    <t>Uber’s platform is designed to support continuous integration and continuous deployment (CI/CD) meaning updates and changes are regularly rolled out across their microservices architecture.</t>
  </si>
  <si>
    <t>Uber sends notifications to users when their account is accessed from a new device. This helps in quickly identifying and mitigating unauthorized access.</t>
  </si>
  <si>
    <t>Uber offers 2FA options for users. Adds an extra layer of security beyond just a password.</t>
  </si>
  <si>
    <t>Uber has measures to lock accounts after multiple incorrect login attempts. This prevents brute-force attacks on user accounts.</t>
  </si>
  <si>
    <t>Uber uses SSL/TLS encryption for data in transit. Protects data during transmission between clients and servers.</t>
  </si>
  <si>
    <t>Uber allows users to access, update, and delete their personal data. Complies with data protection regulations and enhances user control over personal information.</t>
  </si>
  <si>
    <t>Uber provides options for users to obtain their data in a machine-readable format.  Facilitates data portability as required by regulations like GDPR.</t>
  </si>
  <si>
    <t>Uber allows users to update and amend their personal data. Ensures accuracy and up-to-dateness of user information.</t>
  </si>
  <si>
    <t>Uber provides mechanisms for users to delete their personal data. Complies with right-to-be-forgotten provisions in privacy regulations.</t>
  </si>
  <si>
    <t>Uber's app was originally developed by co-founders Travis Kalanick and Garret Camp</t>
  </si>
  <si>
    <t>Uber Technologies, Inc.</t>
  </si>
  <si>
    <t>Name, Phone number , Email, Location, Payment information (optional), Profile photo, Travel history, Device information, Audio recording (optional), Emergency Contacts (optional).</t>
  </si>
  <si>
    <t>Uber Employees, Drivers, Third-party Service Providers, Regulatory and Government Authorities, Partner Applications, Users Themselves, Marketing and Analytics Partners, Auditors and Compliance Officers.</t>
  </si>
  <si>
    <t>1- Upstream apps: Google Maps API, Apple Pay, Google Cloud Platform, Firebase Cloud Messaging, Mapbox, Stripe, PayPal, Google Pay, Onfido, Jumio, Amazon Web Services, OAuth, Firebase Authentication, Twilio.                                                                                                                                                                                                                                                                                                               2- Downstream apps: Uber Rider App, Uber Driver App, Uber’s Internal Analytics Tools, Google Analytics, Mixpanel, Amplitude, Zendesk, Salesforce Service Cloud, Braze, HubSpot, Uber Eats, Uber Freight, Jump Bikes, Government and Regulatory Reporting Tools, Audit Tools, Concur, TripActions.</t>
  </si>
  <si>
    <t xml:space="preserve">Account Creation and Management, Location Tracking and Sharing, Ride History and Preferences, Payment Processing, Communication and Notifications, Identity Verification, Feedback and Ratings, Customer Support, Marketing and Promotions, Analytics and Performance Monitoring, Compliance and Legal Requirements, Accessibility and Special Needs                                                                                                                                                                                                 </t>
  </si>
  <si>
    <t>Payment Processors, Mapping and Navigation Services, Third-party Service Providers, Government and Regulatory Authorities, Marketing and Advertising Partners, Business Partners and Affiliates, Acquirers or Mergers</t>
  </si>
  <si>
    <t>Uber's Privacy Notice details data collection and use, emphasizing necessity, but lacks explicit mechanisms for ensuring data minimization, which partially aligns with the PbD principles.</t>
  </si>
  <si>
    <t>Uber's Privacy Notice indicates data updates through user account management but lacks details on measures ensuring ongoing data accuracy and mechanisms for regular verification.</t>
  </si>
  <si>
    <t>Uber's Privacy Notice references data security but lacks explicit mention of anonymization or de-identification measures for personal data where clear text is unnecessary.</t>
  </si>
  <si>
    <t>Uber's Privacy Notice clearly defines retention periods for personal data, stating data is retained only as long as necessary for the purposes outlined, aligning well with PbD principles.</t>
  </si>
  <si>
    <t>Uber's Privacy Notice mentions data retention but lacks detailed information on enforcement mechanisms to ensure data is disposed of or anonymized after the retention period expires.</t>
  </si>
  <si>
    <t>Uber's Privacy Notice specifies that data sharing with third parties is governed by contractual obligations ensuring data protection, aligning with PDPPL requirements and the PbD principle.</t>
  </si>
  <si>
    <t>Uber's Privacy Notice provides transparency by detailing third-party data sharing practices and the circumstances under which disclosures occur, effectively notifying individuals.</t>
  </si>
  <si>
    <t>Uber's privacy notice indicates data usage for safety, security, and legal purposes, implying some form of activity tracking. However, no specific mention of audit logging for administrators and users.</t>
  </si>
  <si>
    <t>Uber implements access controls to restrict personal data access to authorized personnel, but lacks detailed enforcement mechanisms in their privacy notice.</t>
  </si>
  <si>
    <t>Uber's privacy notice does not explicitly address data backup practices, though it mentions general data security measures.</t>
  </si>
  <si>
    <t>Uber's privacy notice does not detail the use of a Web Application Firewall (WAF). The control's applicability to Uber's mobile application cannot be established as Uber is not a web app.</t>
  </si>
  <si>
    <t>Uber's privacy notice allows data disclosure to third parties for specified purposes but lacks detailed monitoring and enforcement mechanisms to ensure third-party compliance.</t>
  </si>
  <si>
    <t>Uber limits disclosure of personal data to third parties, but the privacy notice does not fully detail measures ensuring minimal data sharing by default or proactive monitoring.</t>
  </si>
  <si>
    <t>Uber's applications have session management features that log users out after a period of inactivity. However, the duration does not always reflect the criticality of the system/application.</t>
  </si>
  <si>
    <t>Uber enforces strong password policies, reducing the risk of password-related attacks.</t>
  </si>
  <si>
    <t>Uber conducts regular vulnerability scans which assists in identifying and mitigating security vulnerabilities proactively.</t>
  </si>
  <si>
    <t>Uber mentions data security but lacks specifics on patch management. Potential gaps in addressing vulnerabilities.</t>
  </si>
  <si>
    <t>Uber uses encryption to protect personal data stored in its databases. Ensures that data is safeguarded against unauthorized database access.</t>
  </si>
  <si>
    <t>Uber's privacy team reviews new systems and applications before deployment, ensuring privacy considerations are integrated into new releases.</t>
  </si>
  <si>
    <t>Uber integrates privacy considerations throughout the development process, promoting a privacy-by-design approach.</t>
  </si>
  <si>
    <t>Uber's privacy documentation does not explicitly state that production data is excluded from testing (PII may be used).</t>
  </si>
  <si>
    <t>Yes, these certificates are typically issued by Let's Encrypt, DigiCert, ZeroSSL, as well as other well-known CAs</t>
  </si>
  <si>
    <t>The Uber app presents users with a Privacy Notice at the time of collecting their personal data. This notice is typically provided during the registration process and outlines how their data will be used, shared, and protected.</t>
  </si>
  <si>
    <t>The privacy notice presented by the Uber app covers many aspects of personal data processing, including collection, use, and sharing of data. However, it may not fully address all aspects required by specific regulations like the Personal Data Protection and Privacy Law (PDPPL), and there could be areas needing improvement to ensure complete compliance.</t>
  </si>
  <si>
    <t>The Uber app notifies users of changes to personal data processing by displaying an updated privacy notice. However, the effectiveness may vary depending on the timeliness and clarity of these notifications. There might be room for improvement in ensuring that changes are communicated promptly and clearly to users.</t>
  </si>
  <si>
    <t>The system/application prompts users to view the updated Privacy Notice upon their first access after the notice has been published. Additionally, it may be integrated with an email gateway to send email communications to individuals regarding updates to the Privacy Notice contents. This ensures that users are informed of any changes to the privacy terms and encourages them to review the updated notice.</t>
  </si>
  <si>
    <t>The website notifies users of the use of cookies by displaying a cookie policy. However, the effectiveness may vary depending on how clearly the policy describes the types of cookies collected (First Party, Third Party, Session Cookies, Persistent Cookies) and the rationale for collecting them. There might be room for improvement in ensuring that the policy is comprehensive and easily understandable for users.</t>
  </si>
  <si>
    <t>The system/application provides users with information about the complaints mechanism. This information includes details on how users can submit complaints, the process for handling complaints, and the expected timeline for resolution.</t>
  </si>
  <si>
    <t>The system/application has the functionality to obtain the user's consent prior to collecting personal data, particularly if consent is identified as the permitted reason or lawful basis for processing personal data. This ensures that users have the opportunity to provide informed consent before their data is collected.</t>
  </si>
  <si>
    <t>The system/application has the functionality to maintain records of the consent obtained from users, especially if consent is identified as the permitted reason or lawful basis for processing personal data. This ensures accountability and compliance with regulatory requirements regarding consent management.</t>
  </si>
  <si>
    <t>The system/application provides users with an option to withdraw their consent, especially if consent is identified as the permitted reason or lawful basis for processing personal data. This enables users to exercise their rights and control over their personal data.</t>
  </si>
  <si>
    <t xml:space="preserve"> All in-app permissions are turned off by default, especially applicable for mobile apps. This approach respects user privacy by requiring users to explicitly enable permissions for specific features or functionalities, enhancing transparency and control over their personal data.</t>
  </si>
  <si>
    <t>Records of Processing Activities/Personal Data Inventories are developed for some personal data processing activities carried out using the system/application. However, there may be gaps in coverage or documentation completeness. Strengthening this process to ensure comprehensive coverage of all data processing activities would enhance effectiveness.</t>
  </si>
  <si>
    <t>The system/application limits the collection of personal data in a manner that is adequate, relevant, and necessary to fulfill the stated purposes in the Privacy Notice. This ensures compliance with privacy principles and minimizes the risk of excessive data collection.</t>
  </si>
  <si>
    <t>The system/application limits the processing of personal data to fulfill the purposes stated in the Privacy Notice. This ensures that personal data is processed only for legitimate and specified purposes, as outlined in the Privacy Notice, in compliance with privacy regulations.</t>
  </si>
  <si>
    <t>The cookie consent banner control is designed for web applications and is not applicable to Uber's mobile application, which does not display a cookie consent banner for managing cookie preferences.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</si>
</sst>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37" x14ac:knownFonts="1">
    <font>
      <sz val="11"/>
      <color theme="1"/>
      <name val="Calibri"/>
      <family val="2"/>
      <scheme val="minor"/>
    </font>
    <font>
      <b/>
      <sz val="11"/>
      <color theme="1"/>
      <name val="Calibri"/>
      <family val="2"/>
      <scheme val="minor"/>
    </font>
    <font>
      <sz val="8"/>
      <name val="Calibri"/>
      <family val="2"/>
      <scheme val="minor"/>
    </font>
    <font>
      <i/>
      <sz val="11"/>
      <color theme="1"/>
      <name val="Calibri"/>
      <family val="2"/>
      <scheme val="minor"/>
    </font>
    <font>
      <sz val="12"/>
      <color theme="1"/>
      <name val="Calibri"/>
      <family val="2"/>
      <scheme val="minor"/>
    </font>
    <font>
      <b/>
      <sz val="12"/>
      <color theme="1"/>
      <name val="Calibri"/>
      <family val="2"/>
      <scheme val="minor"/>
    </font>
    <font>
      <i/>
      <u/>
      <sz val="11"/>
      <color theme="1"/>
      <name val="Calibri"/>
      <family val="2"/>
      <scheme val="minor"/>
    </font>
    <font>
      <sz val="8"/>
      <color theme="1"/>
      <name val="Calibri"/>
      <family val="2"/>
      <scheme val="minor"/>
    </font>
    <font>
      <sz val="9"/>
      <color indexed="81"/>
      <name val="Tahoma"/>
      <family val="2"/>
    </font>
    <font>
      <b/>
      <sz val="9"/>
      <color indexed="81"/>
      <name val="Tahoma"/>
      <family val="2"/>
    </font>
    <font>
      <b/>
      <sz val="12"/>
      <color theme="0"/>
      <name val="Calibri"/>
      <family val="2"/>
      <scheme val="minor"/>
    </font>
    <font>
      <b/>
      <sz val="11"/>
      <color theme="0"/>
      <name val="Calibri"/>
      <family val="2"/>
      <scheme val="minor"/>
    </font>
    <font>
      <b/>
      <sz val="16"/>
      <color theme="0"/>
      <name val="Calibri"/>
      <family val="2"/>
      <scheme val="minor"/>
    </font>
    <font>
      <u/>
      <sz val="11"/>
      <color theme="1"/>
      <name val="Calibri"/>
      <family val="2"/>
      <scheme val="minor"/>
    </font>
    <font>
      <b/>
      <i/>
      <sz val="11"/>
      <color theme="1"/>
      <name val="Calibri"/>
      <family val="2"/>
      <scheme val="minor"/>
    </font>
    <font>
      <b/>
      <u/>
      <sz val="11"/>
      <color theme="1"/>
      <name val="Calibri"/>
      <family val="2"/>
      <scheme val="minor"/>
    </font>
    <font>
      <sz val="11"/>
      <color theme="0"/>
      <name val="Calibri"/>
      <family val="2"/>
      <scheme val="minor"/>
    </font>
    <font>
      <b/>
      <sz val="22"/>
      <color theme="1"/>
      <name val="Century Gothic"/>
      <family val="2"/>
    </font>
    <font>
      <b/>
      <sz val="22"/>
      <color theme="0"/>
      <name val="Century Gothic"/>
      <family val="2"/>
    </font>
    <font>
      <b/>
      <sz val="14"/>
      <name val="Century Gothic"/>
      <family val="2"/>
    </font>
    <font>
      <sz val="14"/>
      <name val="Century Gothic"/>
      <family val="2"/>
    </font>
    <font>
      <sz val="14"/>
      <color theme="1"/>
      <name val="Century Gothic"/>
      <family val="2"/>
    </font>
    <font>
      <sz val="20"/>
      <color theme="1"/>
      <name val="Century Gothic"/>
      <family val="2"/>
    </font>
    <font>
      <sz val="6"/>
      <color theme="0"/>
      <name val="Calibri"/>
      <family val="2"/>
      <scheme val="minor"/>
    </font>
    <font>
      <sz val="30"/>
      <color theme="1"/>
      <name val="Calibri"/>
      <family val="2"/>
      <scheme val="minor"/>
    </font>
    <font>
      <b/>
      <sz val="24"/>
      <color theme="0"/>
      <name val="Century Gothic"/>
      <family val="2"/>
    </font>
    <font>
      <sz val="16"/>
      <color theme="0"/>
      <name val="Calibri"/>
      <family val="2"/>
      <scheme val="minor"/>
    </font>
    <font>
      <sz val="16"/>
      <color theme="1"/>
      <name val="Calibri"/>
      <family val="2"/>
      <scheme val="minor"/>
    </font>
    <font>
      <b/>
      <sz val="16"/>
      <color theme="1"/>
      <name val="Century Gothic"/>
      <family val="2"/>
    </font>
    <font>
      <sz val="12"/>
      <color theme="1"/>
      <name val="Century Gothic"/>
      <family val="2"/>
    </font>
    <font>
      <b/>
      <sz val="11"/>
      <color rgb="FFFF0000"/>
      <name val="Calibri"/>
      <family val="2"/>
      <scheme val="minor"/>
    </font>
    <font>
      <b/>
      <sz val="11"/>
      <color rgb="FF00B050"/>
      <name val="Calibri"/>
      <family val="2"/>
      <scheme val="minor"/>
    </font>
    <font>
      <b/>
      <sz val="11"/>
      <color theme="5"/>
      <name val="Calibri"/>
      <family val="2"/>
      <scheme val="minor"/>
    </font>
    <font>
      <b/>
      <sz val="11"/>
      <color theme="0" tint="-0.499984740745262"/>
      <name val="Calibri"/>
      <family val="2"/>
      <scheme val="minor"/>
    </font>
    <font>
      <u/>
      <sz val="11"/>
      <color theme="10"/>
      <name val="Calibri"/>
      <family val="2"/>
      <scheme val="minor"/>
    </font>
    <font>
      <b/>
      <sz val="9"/>
      <color rgb="FF000000"/>
      <name val="Tahoma"/>
      <family val="2"/>
    </font>
    <font>
      <sz val="9"/>
      <color rgb="FF000000"/>
      <name val="Tahoma"/>
      <family val="2"/>
    </font>
  </fonts>
  <fills count="9">
    <fill>
      <patternFill patternType="none"/>
    </fill>
    <fill>
      <patternFill patternType="gray125"/>
    </fill>
    <fill>
      <patternFill patternType="solid">
        <fgColor theme="2" tint="-0.249977111117893"/>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0"/>
        <bgColor indexed="64"/>
      </patternFill>
    </fill>
    <fill>
      <patternFill patternType="solid">
        <fgColor rgb="FF002060"/>
        <bgColor indexed="64"/>
      </patternFill>
    </fill>
    <fill>
      <patternFill patternType="solid">
        <fgColor theme="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34" fillId="0" borderId="0" applyNumberFormat="0" applyFill="0" applyBorder="0" applyAlignment="0" applyProtection="0"/>
  </cellStyleXfs>
  <cellXfs count="81">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4" fillId="0" borderId="0" xfId="0" applyFont="1" applyAlignment="1">
      <alignment vertical="center"/>
    </xf>
    <xf numFmtId="0" fontId="3" fillId="0" borderId="1" xfId="0" applyFont="1" applyBorder="1" applyAlignment="1">
      <alignment horizontal="center" vertical="center" wrapText="1"/>
    </xf>
    <xf numFmtId="0" fontId="0" fillId="0" borderId="1" xfId="0" applyBorder="1"/>
    <xf numFmtId="0" fontId="0" fillId="0" borderId="1" xfId="0" applyBorder="1" applyAlignment="1">
      <alignment vertical="center"/>
    </xf>
    <xf numFmtId="0" fontId="7" fillId="0" borderId="0" xfId="0" applyFont="1"/>
    <xf numFmtId="0" fontId="0" fillId="0" borderId="0" xfId="0" applyAlignment="1">
      <alignment horizontal="center" wrapText="1"/>
    </xf>
    <xf numFmtId="0" fontId="0" fillId="0" borderId="7" xfId="0" applyBorder="1" applyAlignment="1">
      <alignment vertical="center" wrapText="1"/>
    </xf>
    <xf numFmtId="0" fontId="0" fillId="0" borderId="9" xfId="0" applyBorder="1" applyAlignment="1">
      <alignment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vertical="center" wrapText="1"/>
    </xf>
    <xf numFmtId="0" fontId="1" fillId="0" borderId="6" xfId="0" applyFont="1" applyBorder="1" applyAlignment="1">
      <alignment horizontal="center" vertical="center" wrapText="1"/>
    </xf>
    <xf numFmtId="0" fontId="10" fillId="7" borderId="1" xfId="0" applyFont="1" applyFill="1" applyBorder="1" applyAlignment="1">
      <alignment horizontal="center" vertical="center" wrapText="1"/>
    </xf>
    <xf numFmtId="0" fontId="10" fillId="7" borderId="1" xfId="0" applyFont="1" applyFill="1" applyBorder="1" applyAlignment="1">
      <alignment horizontal="center" vertical="center"/>
    </xf>
    <xf numFmtId="0" fontId="0" fillId="0" borderId="0" xfId="0" applyAlignment="1">
      <alignment horizontal="left" vertical="center"/>
    </xf>
    <xf numFmtId="0" fontId="0" fillId="0" borderId="16" xfId="0" applyBorder="1" applyAlignment="1">
      <alignment horizontal="left" vertical="center"/>
    </xf>
    <xf numFmtId="0" fontId="0" fillId="3" borderId="14" xfId="0" applyFill="1" applyBorder="1" applyAlignment="1">
      <alignment horizontal="left" vertical="center" wrapText="1"/>
    </xf>
    <xf numFmtId="0" fontId="0" fillId="3" borderId="15" xfId="0" applyFill="1" applyBorder="1" applyAlignment="1">
      <alignment horizontal="left" vertical="center" wrapText="1"/>
    </xf>
    <xf numFmtId="0" fontId="0" fillId="0" borderId="2" xfId="0" applyBorder="1" applyAlignment="1">
      <alignment horizontal="left" vertical="center"/>
    </xf>
    <xf numFmtId="0" fontId="11" fillId="4" borderId="1" xfId="0" applyFont="1" applyFill="1" applyBorder="1" applyAlignment="1">
      <alignment horizontal="center"/>
    </xf>
    <xf numFmtId="0" fontId="11" fillId="4" borderId="1" xfId="0" applyFont="1" applyFill="1" applyBorder="1" applyAlignment="1">
      <alignment horizontal="center" wrapText="1"/>
    </xf>
    <xf numFmtId="0" fontId="0" fillId="0" borderId="14" xfId="0" applyBorder="1" applyAlignment="1">
      <alignment horizontal="center" vertical="center"/>
    </xf>
    <xf numFmtId="0" fontId="11" fillId="4" borderId="17" xfId="0" applyFont="1" applyFill="1" applyBorder="1" applyAlignment="1">
      <alignment horizontal="center" vertical="center"/>
    </xf>
    <xf numFmtId="0" fontId="0" fillId="6" borderId="7" xfId="0" applyFill="1" applyBorder="1" applyAlignment="1">
      <alignment vertical="center" wrapText="1"/>
    </xf>
    <xf numFmtId="0" fontId="0" fillId="6" borderId="1" xfId="0" applyFill="1" applyBorder="1" applyAlignment="1">
      <alignment vertical="center" wrapText="1"/>
    </xf>
    <xf numFmtId="0" fontId="16" fillId="8" borderId="6" xfId="0" applyFont="1" applyFill="1" applyBorder="1" applyAlignment="1">
      <alignment horizontal="center" vertical="center" wrapText="1"/>
    </xf>
    <xf numFmtId="0" fontId="0" fillId="6" borderId="0" xfId="0" applyFill="1" applyAlignment="1">
      <alignment vertical="center"/>
    </xf>
    <xf numFmtId="0" fontId="0" fillId="6" borderId="0" xfId="0" applyFill="1" applyAlignment="1">
      <alignment horizontal="center" vertical="center" wrapText="1"/>
    </xf>
    <xf numFmtId="0" fontId="0" fillId="6" borderId="0" xfId="0" applyFill="1" applyAlignment="1">
      <alignment vertical="center" wrapText="1"/>
    </xf>
    <xf numFmtId="0" fontId="16" fillId="6" borderId="0" xfId="0" applyFont="1" applyFill="1" applyAlignment="1">
      <alignment horizontal="center" vertical="center" wrapText="1"/>
    </xf>
    <xf numFmtId="14" fontId="0" fillId="0" borderId="16" xfId="0" applyNumberFormat="1" applyBorder="1" applyAlignment="1">
      <alignment horizontal="left" vertical="center"/>
    </xf>
    <xf numFmtId="0" fontId="0" fillId="0" borderId="16" xfId="0" applyBorder="1" applyAlignment="1">
      <alignment horizontal="left" vertical="center" wrapText="1"/>
    </xf>
    <xf numFmtId="0" fontId="20" fillId="6" borderId="1" xfId="0" applyFont="1" applyFill="1" applyBorder="1" applyAlignment="1">
      <alignment vertical="center" wrapText="1"/>
    </xf>
    <xf numFmtId="164" fontId="20" fillId="6" borderId="1" xfId="0" applyNumberFormat="1" applyFont="1" applyFill="1" applyBorder="1" applyAlignment="1">
      <alignment horizontal="left" vertical="center" wrapText="1"/>
    </xf>
    <xf numFmtId="0" fontId="21" fillId="0" borderId="1" xfId="0" applyFont="1" applyBorder="1" applyAlignment="1">
      <alignment horizontal="left" vertical="center" wrapText="1"/>
    </xf>
    <xf numFmtId="0" fontId="22" fillId="0" borderId="0" xfId="0" applyFont="1" applyAlignment="1">
      <alignment vertical="center"/>
    </xf>
    <xf numFmtId="0" fontId="23" fillId="0" borderId="0" xfId="0" applyFont="1" applyAlignment="1">
      <alignment vertical="center"/>
    </xf>
    <xf numFmtId="0" fontId="26" fillId="0" borderId="0" xfId="0" applyFont="1" applyAlignment="1">
      <alignment vertical="center"/>
    </xf>
    <xf numFmtId="0" fontId="27" fillId="0" borderId="0" xfId="0" applyFont="1"/>
    <xf numFmtId="0" fontId="24" fillId="0" borderId="0" xfId="0" applyFont="1" applyAlignment="1">
      <alignment vertical="center"/>
    </xf>
    <xf numFmtId="0" fontId="16" fillId="0" borderId="0" xfId="0" applyFont="1" applyAlignment="1">
      <alignment vertical="center"/>
    </xf>
    <xf numFmtId="0" fontId="16" fillId="0" borderId="0" xfId="0" applyFont="1" applyAlignment="1">
      <alignment vertical="center" wrapText="1"/>
    </xf>
    <xf numFmtId="0" fontId="16" fillId="0" borderId="0" xfId="0" applyFont="1"/>
    <xf numFmtId="0" fontId="16" fillId="0" borderId="0" xfId="0" applyFont="1" applyAlignment="1">
      <alignment horizontal="left" vertical="center"/>
    </xf>
    <xf numFmtId="0" fontId="16" fillId="0" borderId="0" xfId="0" applyFont="1" applyAlignment="1">
      <alignment wrapText="1"/>
    </xf>
    <xf numFmtId="0" fontId="16" fillId="0" borderId="0" xfId="0" applyFont="1" applyAlignment="1">
      <alignment vertical="top" wrapText="1"/>
    </xf>
    <xf numFmtId="0" fontId="1" fillId="0" borderId="21" xfId="0" applyFont="1" applyBorder="1" applyAlignment="1">
      <alignment horizontal="center" vertical="center" wrapText="1"/>
    </xf>
    <xf numFmtId="0" fontId="0" fillId="0" borderId="22" xfId="0" applyBorder="1" applyAlignment="1">
      <alignment vertical="center" wrapText="1"/>
    </xf>
    <xf numFmtId="0" fontId="28" fillId="3" borderId="1" xfId="0" applyFont="1" applyFill="1" applyBorder="1" applyAlignment="1">
      <alignment horizontal="center" vertical="center" wrapText="1"/>
    </xf>
    <xf numFmtId="0" fontId="29" fillId="0" borderId="0" xfId="0" applyFont="1" applyAlignment="1">
      <alignment horizontal="center" vertical="center" wrapText="1"/>
    </xf>
    <xf numFmtId="0" fontId="29" fillId="0" borderId="0" xfId="0" applyFont="1" applyAlignment="1">
      <alignment vertical="center" wrapText="1"/>
    </xf>
    <xf numFmtId="0" fontId="1" fillId="0" borderId="8" xfId="0" applyFont="1" applyBorder="1" applyAlignment="1">
      <alignment horizontal="center" wrapText="1"/>
    </xf>
    <xf numFmtId="0" fontId="1" fillId="0" borderId="1" xfId="0" applyFont="1" applyBorder="1" applyAlignment="1">
      <alignment horizontal="center" vertical="center" wrapText="1"/>
    </xf>
    <xf numFmtId="0" fontId="34" fillId="0" borderId="0" xfId="1" applyAlignment="1">
      <alignment vertical="center"/>
    </xf>
    <xf numFmtId="0" fontId="34" fillId="0" borderId="0" xfId="1" applyAlignment="1">
      <alignment wrapText="1"/>
    </xf>
    <xf numFmtId="0" fontId="1" fillId="0" borderId="23" xfId="0" applyFont="1" applyBorder="1" applyAlignment="1">
      <alignment horizontal="center" vertical="center" wrapText="1"/>
    </xf>
    <xf numFmtId="0" fontId="34" fillId="0" borderId="24" xfId="1" applyBorder="1" applyAlignment="1">
      <alignment vertical="center"/>
    </xf>
    <xf numFmtId="0" fontId="19" fillId="6" borderId="1" xfId="0" applyFont="1" applyFill="1" applyBorder="1" applyAlignment="1">
      <alignment horizontal="center" vertical="center" wrapText="1"/>
    </xf>
    <xf numFmtId="0" fontId="17" fillId="3" borderId="0" xfId="0" applyFont="1" applyFill="1" applyAlignment="1">
      <alignment horizontal="center" vertical="center" wrapText="1"/>
    </xf>
    <xf numFmtId="0" fontId="17" fillId="0" borderId="0" xfId="0" applyFont="1" applyAlignment="1">
      <alignment horizontal="center" vertical="center" wrapText="1"/>
    </xf>
    <xf numFmtId="0" fontId="18" fillId="4" borderId="3" xfId="0" applyFont="1" applyFill="1" applyBorder="1" applyAlignment="1">
      <alignment horizontal="center" vertical="center"/>
    </xf>
    <xf numFmtId="0" fontId="19" fillId="6" borderId="18" xfId="0" applyFont="1" applyFill="1" applyBorder="1" applyAlignment="1">
      <alignment horizontal="center" vertical="center" wrapText="1"/>
    </xf>
    <xf numFmtId="0" fontId="19" fillId="6" borderId="19" xfId="0" applyFont="1" applyFill="1" applyBorder="1" applyAlignment="1">
      <alignment horizontal="center" vertical="center" wrapText="1"/>
    </xf>
    <xf numFmtId="0" fontId="19" fillId="6" borderId="20" xfId="0" applyFont="1" applyFill="1" applyBorder="1" applyAlignment="1">
      <alignment horizontal="center" vertical="center" wrapText="1"/>
    </xf>
    <xf numFmtId="0" fontId="25" fillId="4" borderId="3" xfId="0" applyFont="1" applyFill="1" applyBorder="1" applyAlignment="1">
      <alignment horizontal="center" vertical="center" wrapText="1"/>
    </xf>
    <xf numFmtId="0" fontId="1" fillId="5" borderId="4" xfId="0" applyFont="1" applyFill="1" applyBorder="1" applyAlignment="1">
      <alignment horizontal="center" wrapText="1"/>
    </xf>
    <xf numFmtId="0" fontId="1" fillId="5" borderId="5" xfId="0" applyFont="1" applyFill="1" applyBorder="1" applyAlignment="1">
      <alignment horizontal="center" wrapText="1"/>
    </xf>
    <xf numFmtId="0" fontId="12" fillId="4" borderId="0" xfId="0" applyFont="1" applyFill="1" applyAlignment="1">
      <alignment horizontal="center" vertical="center" wrapText="1"/>
    </xf>
  </cellXfs>
  <cellStyles count="2">
    <cellStyle name="Hyperlink" xfId="1" builtinId="8"/>
    <cellStyle name="Normal" xfId="0" builtinId="0"/>
  </cellStyles>
  <dxfs count="5">
    <dxf>
      <font>
        <b/>
        <i val="0"/>
        <color theme="0"/>
      </font>
      <fill>
        <patternFill>
          <bgColor rgb="FF00B050"/>
        </patternFill>
      </fill>
    </dxf>
    <dxf>
      <font>
        <b/>
        <i val="0"/>
        <color theme="0"/>
      </font>
      <fill>
        <patternFill>
          <bgColor rgb="FFFF0000"/>
        </patternFill>
      </fill>
    </dxf>
    <dxf>
      <font>
        <color theme="0"/>
      </font>
      <fill>
        <patternFill>
          <bgColor theme="5"/>
        </patternFill>
      </fill>
    </dxf>
    <dxf>
      <font>
        <color theme="0"/>
      </font>
      <fill>
        <patternFill>
          <bgColor theme="1" tint="0.499984740745262"/>
        </patternFill>
      </fill>
    </dxf>
    <dxf>
      <fill>
        <patternFill>
          <bgColor theme="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r>
              <a:rPr lang="en-US" b="1" u="sng">
                <a:solidFill>
                  <a:schemeClr val="tx1"/>
                </a:solidFill>
              </a:rPr>
              <a:t>Status</a:t>
            </a:r>
            <a:r>
              <a:rPr lang="en-US" b="1" u="sng" baseline="0">
                <a:solidFill>
                  <a:schemeClr val="tx1"/>
                </a:solidFill>
              </a:rPr>
              <a:t> of control effective (Overall)</a:t>
            </a:r>
            <a:endParaRPr lang="en-US" b="1" u="sng">
              <a:solidFill>
                <a:schemeClr val="tx1"/>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endParaRPr lang="en-QA"/>
        </a:p>
      </c:txPr>
    </c:title>
    <c:autoTitleDeleted val="0"/>
    <c:plotArea>
      <c:layout>
        <c:manualLayout>
          <c:layoutTarget val="inner"/>
          <c:xMode val="edge"/>
          <c:yMode val="edge"/>
          <c:x val="0.32745427509898756"/>
          <c:y val="0.17208671488201877"/>
          <c:w val="0.44401695815890424"/>
          <c:h val="0.7386535021682098"/>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DE20-4ED8-8D8E-9A373832CD7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DE20-4ED8-8D8E-9A373832CD76}"/>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5-DE20-4ED8-8D8E-9A373832CD76}"/>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DE20-4ED8-8D8E-9A373832CD7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20-4ED8-8D8E-9A373832CD7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20-4ED8-8D8E-9A373832CD7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E20-4ED8-8D8E-9A373832CD7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E20-4ED8-8D8E-9A373832CD76}"/>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QA"/>
              </a:p>
            </c:txPr>
            <c:showLegendKey val="0"/>
            <c:showVal val="0"/>
            <c:showCatName val="0"/>
            <c:showSerName val="0"/>
            <c:showPercent val="0"/>
            <c:showBubbleSize val="0"/>
            <c:extLst>
              <c:ext xmlns:c15="http://schemas.microsoft.com/office/drawing/2012/chart" uri="{CE6537A1-D6FC-4f65-9D91-7224C49458BB}"/>
            </c:extLst>
          </c:dLbls>
          <c:cat>
            <c:strRef>
              <c:f>Calculations!$B$3:$B$6</c:f>
              <c:strCache>
                <c:ptCount val="4"/>
                <c:pt idx="0">
                  <c:v>Effective</c:v>
                </c:pt>
                <c:pt idx="1">
                  <c:v>Ineffective</c:v>
                </c:pt>
                <c:pt idx="2">
                  <c:v>Partially Effective</c:v>
                </c:pt>
                <c:pt idx="3">
                  <c:v>Not Applicable</c:v>
                </c:pt>
              </c:strCache>
            </c:strRef>
          </c:cat>
          <c:val>
            <c:numRef>
              <c:f>Calculations!$C$3:$C$6</c:f>
              <c:numCache>
                <c:formatCode>General</c:formatCode>
                <c:ptCount val="4"/>
                <c:pt idx="0">
                  <c:v>25</c:v>
                </c:pt>
                <c:pt idx="1">
                  <c:v>0</c:v>
                </c:pt>
                <c:pt idx="2">
                  <c:v>16</c:v>
                </c:pt>
                <c:pt idx="3">
                  <c:v>2</c:v>
                </c:pt>
              </c:numCache>
            </c:numRef>
          </c:val>
          <c:extLst>
            <c:ext xmlns:c16="http://schemas.microsoft.com/office/drawing/2014/chart" uri="{C3380CC4-5D6E-409C-BE32-E72D297353CC}">
              <c16:uniqueId val="{00000008-DE20-4ED8-8D8E-9A373832CD7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0781658028851633E-4"/>
          <c:y val="0.66161033386554702"/>
          <c:w val="0.27885790886537676"/>
          <c:h val="0.3383896155240009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Q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bg1">
          <a:lumMod val="50000"/>
        </a:schemeClr>
      </a:solidFill>
      <a:round/>
    </a:ln>
    <a:effectLst/>
  </c:spPr>
  <c:txPr>
    <a:bodyPr/>
    <a:lstStyle/>
    <a:p>
      <a:pPr>
        <a:defRPr/>
      </a:pPr>
      <a:endParaRPr lang="en-QA"/>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400" u="sng">
                <a:solidFill>
                  <a:schemeClr val="tx1"/>
                </a:solidFill>
              </a:rPr>
              <a:t>Domain wise Effectiveness Status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QA"/>
        </a:p>
      </c:txPr>
    </c:title>
    <c:autoTitleDeleted val="0"/>
    <c:plotArea>
      <c:layout>
        <c:manualLayout>
          <c:layoutTarget val="inner"/>
          <c:xMode val="edge"/>
          <c:yMode val="edge"/>
          <c:x val="2.5849068534952484E-2"/>
          <c:y val="0.10563739041095702"/>
          <c:w val="0.95918140125865203"/>
          <c:h val="0.79648226354486062"/>
        </c:manualLayout>
      </c:layout>
      <c:barChart>
        <c:barDir val="col"/>
        <c:grouping val="stacked"/>
        <c:varyColors val="0"/>
        <c:ser>
          <c:idx val="0"/>
          <c:order val="0"/>
          <c:tx>
            <c:strRef>
              <c:f>Calculations!$G$9</c:f>
              <c:strCache>
                <c:ptCount val="1"/>
                <c:pt idx="0">
                  <c:v>Effective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Calculations!$G$10:$G$16</c:f>
              <c:numCache>
                <c:formatCode>General</c:formatCode>
                <c:ptCount val="7"/>
                <c:pt idx="0">
                  <c:v>3</c:v>
                </c:pt>
                <c:pt idx="1">
                  <c:v>4</c:v>
                </c:pt>
                <c:pt idx="2">
                  <c:v>3</c:v>
                </c:pt>
                <c:pt idx="3">
                  <c:v>2</c:v>
                </c:pt>
                <c:pt idx="4">
                  <c:v>7</c:v>
                </c:pt>
                <c:pt idx="5">
                  <c:v>4</c:v>
                </c:pt>
                <c:pt idx="6">
                  <c:v>2</c:v>
                </c:pt>
              </c:numCache>
            </c:numRef>
          </c:val>
          <c:extLst>
            <c:ext xmlns:c16="http://schemas.microsoft.com/office/drawing/2014/chart" uri="{C3380CC4-5D6E-409C-BE32-E72D297353CC}">
              <c16:uniqueId val="{00000000-18B3-4B08-BA08-ACA56BAB2837}"/>
            </c:ext>
          </c:extLst>
        </c:ser>
        <c:ser>
          <c:idx val="1"/>
          <c:order val="1"/>
          <c:tx>
            <c:strRef>
              <c:f>Calculations!$H$9</c:f>
              <c:strCache>
                <c:ptCount val="1"/>
                <c:pt idx="0">
                  <c:v>Ineffective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Calculations!$H$10:$H$16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18B3-4B08-BA08-ACA56BAB2837}"/>
            </c:ext>
          </c:extLst>
        </c:ser>
        <c:ser>
          <c:idx val="2"/>
          <c:order val="2"/>
          <c:tx>
            <c:strRef>
              <c:f>Calculations!$I$9</c:f>
              <c:strCache>
                <c:ptCount val="1"/>
                <c:pt idx="0">
                  <c:v>Partially Effective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Calculations!$I$10:$I$16</c:f>
              <c:numCache>
                <c:formatCode>General</c:formatCode>
                <c:ptCount val="7"/>
                <c:pt idx="0">
                  <c:v>3</c:v>
                </c:pt>
                <c:pt idx="1">
                  <c:v>0</c:v>
                </c:pt>
                <c:pt idx="2">
                  <c:v>5</c:v>
                </c:pt>
                <c:pt idx="3">
                  <c:v>2</c:v>
                </c:pt>
                <c:pt idx="4">
                  <c:v>5</c:v>
                </c:pt>
                <c:pt idx="5">
                  <c:v>0</c:v>
                </c:pt>
                <c:pt idx="6">
                  <c:v>1</c:v>
                </c:pt>
              </c:numCache>
            </c:numRef>
          </c:val>
          <c:extLst>
            <c:ext xmlns:c16="http://schemas.microsoft.com/office/drawing/2014/chart" uri="{C3380CC4-5D6E-409C-BE32-E72D297353CC}">
              <c16:uniqueId val="{00000002-18B3-4B08-BA08-ACA56BAB2837}"/>
            </c:ext>
          </c:extLst>
        </c:ser>
        <c:ser>
          <c:idx val="3"/>
          <c:order val="3"/>
          <c:tx>
            <c:strRef>
              <c:f>Calculations!$J$9</c:f>
              <c:strCache>
                <c:ptCount val="1"/>
                <c:pt idx="0">
                  <c:v>Not Applicable</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Calculations!$J$10:$J$16</c:f>
              <c:numCache>
                <c:formatCode>General</c:formatCode>
                <c:ptCount val="7"/>
                <c:pt idx="0">
                  <c:v>0</c:v>
                </c:pt>
                <c:pt idx="1">
                  <c:v>1</c:v>
                </c:pt>
                <c:pt idx="2">
                  <c:v>0</c:v>
                </c:pt>
                <c:pt idx="3">
                  <c:v>0</c:v>
                </c:pt>
                <c:pt idx="4">
                  <c:v>1</c:v>
                </c:pt>
                <c:pt idx="5">
                  <c:v>0</c:v>
                </c:pt>
                <c:pt idx="6">
                  <c:v>0</c:v>
                </c:pt>
              </c:numCache>
            </c:numRef>
          </c:val>
          <c:extLst>
            <c:ext xmlns:c16="http://schemas.microsoft.com/office/drawing/2014/chart" uri="{C3380CC4-5D6E-409C-BE32-E72D297353CC}">
              <c16:uniqueId val="{00000003-18B3-4B08-BA08-ACA56BAB2837}"/>
            </c:ext>
          </c:extLst>
        </c:ser>
        <c:dLbls>
          <c:dLblPos val="ctr"/>
          <c:showLegendKey val="0"/>
          <c:showVal val="1"/>
          <c:showCatName val="0"/>
          <c:showSerName val="0"/>
          <c:showPercent val="0"/>
          <c:showBubbleSize val="0"/>
        </c:dLbls>
        <c:gapWidth val="150"/>
        <c:overlap val="100"/>
        <c:axId val="179824016"/>
        <c:axId val="179826928"/>
      </c:barChart>
      <c:catAx>
        <c:axId val="179824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QA"/>
          </a:p>
        </c:txPr>
        <c:crossAx val="179826928"/>
        <c:crosses val="autoZero"/>
        <c:auto val="1"/>
        <c:lblAlgn val="ctr"/>
        <c:lblOffset val="100"/>
        <c:noMultiLvlLbl val="0"/>
      </c:catAx>
      <c:valAx>
        <c:axId val="1798269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QA"/>
          </a:p>
        </c:txPr>
        <c:crossAx val="179824016"/>
        <c:crosses val="autoZero"/>
        <c:crossBetween val="between"/>
      </c:valAx>
      <c:spPr>
        <a:noFill/>
        <a:ln>
          <a:noFill/>
        </a:ln>
        <a:effectLst/>
      </c:spPr>
    </c:plotArea>
    <c:legend>
      <c:legendPos val="r"/>
      <c:layout>
        <c:manualLayout>
          <c:xMode val="edge"/>
          <c:yMode val="edge"/>
          <c:x val="0.73099562318537437"/>
          <c:y val="5.5093118258502001E-2"/>
          <c:w val="0.23264955187307776"/>
          <c:h val="0.17540238399097924"/>
        </c:manualLayout>
      </c:layout>
      <c:overlay val="0"/>
      <c:spPr>
        <a:noFill/>
        <a:ln>
          <a:solidFill>
            <a:schemeClr val="bg2">
              <a:lumMod val="10000"/>
            </a:schemeClr>
          </a:solid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QA"/>
        </a:p>
      </c:txPr>
    </c:legend>
    <c:plotVisOnly val="1"/>
    <c:dispBlanksAs val="gap"/>
    <c:showDLblsOverMax val="0"/>
  </c:chart>
  <c:spPr>
    <a:solidFill>
      <a:schemeClr val="accent3">
        <a:lumMod val="20000"/>
        <a:lumOff val="80000"/>
      </a:schemeClr>
    </a:solidFill>
    <a:ln w="9525" cap="flat" cmpd="sng" algn="ctr">
      <a:solidFill>
        <a:schemeClr val="tx1"/>
      </a:solidFill>
      <a:round/>
    </a:ln>
    <a:effectLst/>
  </c:spPr>
  <c:txPr>
    <a:bodyPr/>
    <a:lstStyle/>
    <a:p>
      <a:pPr>
        <a:defRPr sz="700" b="1"/>
      </a:pPr>
      <a:endParaRPr lang="en-QA"/>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Status</a:t>
            </a:r>
            <a:r>
              <a:rPr lang="en-US" baseline="0">
                <a:solidFill>
                  <a:schemeClr val="tx1"/>
                </a:solidFill>
              </a:rPr>
              <a:t> of control effective (Overall)</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QA"/>
        </a:p>
      </c:txPr>
    </c:title>
    <c:autoTitleDeleted val="0"/>
    <c:plotArea>
      <c:layout>
        <c:manualLayout>
          <c:layoutTarget val="inner"/>
          <c:xMode val="edge"/>
          <c:yMode val="edge"/>
          <c:x val="0.2999434394403917"/>
          <c:y val="0.12213229067190398"/>
          <c:w val="0.44606352062963472"/>
          <c:h val="0.85282869961620944"/>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B4D-4108-9B51-635E393355C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2-FB4D-4108-9B51-635E393355C6}"/>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FB4D-4108-9B51-635E393355C6}"/>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4-FB4D-4108-9B51-635E393355C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4D-4108-9B51-635E393355C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4D-4108-9B51-635E393355C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4D-4108-9B51-635E393355C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B4D-4108-9B51-635E393355C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QA"/>
              </a:p>
            </c:txPr>
            <c:showLegendKey val="0"/>
            <c:showVal val="0"/>
            <c:showCatName val="0"/>
            <c:showSerName val="0"/>
            <c:showPercent val="0"/>
            <c:showBubbleSize val="0"/>
            <c:extLst>
              <c:ext xmlns:c15="http://schemas.microsoft.com/office/drawing/2012/chart" uri="{CE6537A1-D6FC-4f65-9D91-7224C49458BB}"/>
            </c:extLst>
          </c:dLbls>
          <c:cat>
            <c:strRef>
              <c:f>Calculations!$B$3:$B$6</c:f>
              <c:strCache>
                <c:ptCount val="4"/>
                <c:pt idx="0">
                  <c:v>Effective</c:v>
                </c:pt>
                <c:pt idx="1">
                  <c:v>Ineffective</c:v>
                </c:pt>
                <c:pt idx="2">
                  <c:v>Partially Effective</c:v>
                </c:pt>
                <c:pt idx="3">
                  <c:v>Not Applicable</c:v>
                </c:pt>
              </c:strCache>
            </c:strRef>
          </c:cat>
          <c:val>
            <c:numRef>
              <c:f>Calculations!$C$3:$C$6</c:f>
              <c:numCache>
                <c:formatCode>General</c:formatCode>
                <c:ptCount val="4"/>
                <c:pt idx="0">
                  <c:v>25</c:v>
                </c:pt>
                <c:pt idx="1">
                  <c:v>0</c:v>
                </c:pt>
                <c:pt idx="2">
                  <c:v>16</c:v>
                </c:pt>
                <c:pt idx="3">
                  <c:v>2</c:v>
                </c:pt>
              </c:numCache>
            </c:numRef>
          </c:val>
          <c:extLst>
            <c:ext xmlns:c16="http://schemas.microsoft.com/office/drawing/2014/chart" uri="{C3380CC4-5D6E-409C-BE32-E72D297353CC}">
              <c16:uniqueId val="{00000000-FB4D-4108-9B51-635E393355C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0779809199110573E-4"/>
          <c:y val="0.66161038447599907"/>
          <c:w val="0.27885790886537676"/>
          <c:h val="0.338389615524000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Q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QA"/>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Domain wise Effectiveness Status</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QA"/>
        </a:p>
      </c:txPr>
    </c:title>
    <c:autoTitleDeleted val="0"/>
    <c:plotArea>
      <c:layout/>
      <c:barChart>
        <c:barDir val="col"/>
        <c:grouping val="stacked"/>
        <c:varyColors val="0"/>
        <c:ser>
          <c:idx val="0"/>
          <c:order val="0"/>
          <c:tx>
            <c:strRef>
              <c:f>Calculations!$G$9</c:f>
              <c:strCache>
                <c:ptCount val="1"/>
                <c:pt idx="0">
                  <c:v>Effective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Calculations!$G$10:$G$16</c:f>
              <c:numCache>
                <c:formatCode>General</c:formatCode>
                <c:ptCount val="7"/>
                <c:pt idx="0">
                  <c:v>3</c:v>
                </c:pt>
                <c:pt idx="1">
                  <c:v>4</c:v>
                </c:pt>
                <c:pt idx="2">
                  <c:v>3</c:v>
                </c:pt>
                <c:pt idx="3">
                  <c:v>2</c:v>
                </c:pt>
                <c:pt idx="4">
                  <c:v>7</c:v>
                </c:pt>
                <c:pt idx="5">
                  <c:v>4</c:v>
                </c:pt>
                <c:pt idx="6">
                  <c:v>2</c:v>
                </c:pt>
              </c:numCache>
            </c:numRef>
          </c:val>
          <c:extLst>
            <c:ext xmlns:c16="http://schemas.microsoft.com/office/drawing/2014/chart" uri="{C3380CC4-5D6E-409C-BE32-E72D297353CC}">
              <c16:uniqueId val="{00000000-9AA3-442F-9470-903F3911A03D}"/>
            </c:ext>
          </c:extLst>
        </c:ser>
        <c:ser>
          <c:idx val="1"/>
          <c:order val="1"/>
          <c:tx>
            <c:strRef>
              <c:f>Calculations!$H$9</c:f>
              <c:strCache>
                <c:ptCount val="1"/>
                <c:pt idx="0">
                  <c:v>Ineffective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Calculations!$H$10:$H$16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AA3-442F-9470-903F3911A03D}"/>
            </c:ext>
          </c:extLst>
        </c:ser>
        <c:ser>
          <c:idx val="2"/>
          <c:order val="2"/>
          <c:tx>
            <c:strRef>
              <c:f>Calculations!$I$9</c:f>
              <c:strCache>
                <c:ptCount val="1"/>
                <c:pt idx="0">
                  <c:v>Partially Effective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Calculations!$I$10:$I$16</c:f>
              <c:numCache>
                <c:formatCode>General</c:formatCode>
                <c:ptCount val="7"/>
                <c:pt idx="0">
                  <c:v>3</c:v>
                </c:pt>
                <c:pt idx="1">
                  <c:v>0</c:v>
                </c:pt>
                <c:pt idx="2">
                  <c:v>5</c:v>
                </c:pt>
                <c:pt idx="3">
                  <c:v>2</c:v>
                </c:pt>
                <c:pt idx="4">
                  <c:v>5</c:v>
                </c:pt>
                <c:pt idx="5">
                  <c:v>0</c:v>
                </c:pt>
                <c:pt idx="6">
                  <c:v>1</c:v>
                </c:pt>
              </c:numCache>
            </c:numRef>
          </c:val>
          <c:extLst>
            <c:ext xmlns:c16="http://schemas.microsoft.com/office/drawing/2014/chart" uri="{C3380CC4-5D6E-409C-BE32-E72D297353CC}">
              <c16:uniqueId val="{00000002-9AA3-442F-9470-903F3911A03D}"/>
            </c:ext>
          </c:extLst>
        </c:ser>
        <c:ser>
          <c:idx val="3"/>
          <c:order val="3"/>
          <c:tx>
            <c:strRef>
              <c:f>Calculations!$J$9</c:f>
              <c:strCache>
                <c:ptCount val="1"/>
                <c:pt idx="0">
                  <c:v>Not Applicable</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Q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Calculations!$J$10:$J$16</c:f>
              <c:numCache>
                <c:formatCode>General</c:formatCode>
                <c:ptCount val="7"/>
                <c:pt idx="0">
                  <c:v>0</c:v>
                </c:pt>
                <c:pt idx="1">
                  <c:v>1</c:v>
                </c:pt>
                <c:pt idx="2">
                  <c:v>0</c:v>
                </c:pt>
                <c:pt idx="3">
                  <c:v>0</c:v>
                </c:pt>
                <c:pt idx="4">
                  <c:v>1</c:v>
                </c:pt>
                <c:pt idx="5">
                  <c:v>0</c:v>
                </c:pt>
                <c:pt idx="6">
                  <c:v>0</c:v>
                </c:pt>
              </c:numCache>
            </c:numRef>
          </c:val>
          <c:extLst>
            <c:ext xmlns:c16="http://schemas.microsoft.com/office/drawing/2014/chart" uri="{C3380CC4-5D6E-409C-BE32-E72D297353CC}">
              <c16:uniqueId val="{00000003-9AA3-442F-9470-903F3911A03D}"/>
            </c:ext>
          </c:extLst>
        </c:ser>
        <c:dLbls>
          <c:dLblPos val="ctr"/>
          <c:showLegendKey val="0"/>
          <c:showVal val="1"/>
          <c:showCatName val="0"/>
          <c:showSerName val="0"/>
          <c:showPercent val="0"/>
          <c:showBubbleSize val="0"/>
        </c:dLbls>
        <c:gapWidth val="150"/>
        <c:overlap val="100"/>
        <c:axId val="179824016"/>
        <c:axId val="179826928"/>
      </c:barChart>
      <c:catAx>
        <c:axId val="1798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QA"/>
          </a:p>
        </c:txPr>
        <c:crossAx val="179826928"/>
        <c:crosses val="autoZero"/>
        <c:auto val="1"/>
        <c:lblAlgn val="ctr"/>
        <c:lblOffset val="100"/>
        <c:noMultiLvlLbl val="0"/>
      </c:catAx>
      <c:valAx>
        <c:axId val="179826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QA"/>
          </a:p>
        </c:txPr>
        <c:crossAx val="17982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Q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Q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mailto:privacy@ncsa.gov.qa" TargetMode="Externa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938891</xdr:colOff>
      <xdr:row>132</xdr:row>
      <xdr:rowOff>15724</xdr:rowOff>
    </xdr:from>
    <xdr:to>
      <xdr:col>8</xdr:col>
      <xdr:colOff>3728358</xdr:colOff>
      <xdr:row>144</xdr:row>
      <xdr:rowOff>217715</xdr:rowOff>
    </xdr:to>
    <xdr:graphicFrame macro="">
      <xdr:nvGraphicFramePr>
        <xdr:cNvPr id="4" name="Chart 3">
          <a:extLst>
            <a:ext uri="{FF2B5EF4-FFF2-40B4-BE49-F238E27FC236}">
              <a16:creationId xmlns:a16="http://schemas.microsoft.com/office/drawing/2014/main" id="{497F4E9F-92CA-407D-9033-88877EF38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979714</xdr:colOff>
      <xdr:row>145</xdr:row>
      <xdr:rowOff>190500</xdr:rowOff>
    </xdr:from>
    <xdr:to>
      <xdr:col>8</xdr:col>
      <xdr:colOff>3701143</xdr:colOff>
      <xdr:row>158</xdr:row>
      <xdr:rowOff>27215</xdr:rowOff>
    </xdr:to>
    <xdr:graphicFrame macro="">
      <xdr:nvGraphicFramePr>
        <xdr:cNvPr id="5" name="Chart 4">
          <a:extLst>
            <a:ext uri="{FF2B5EF4-FFF2-40B4-BE49-F238E27FC236}">
              <a16:creationId xmlns:a16="http://schemas.microsoft.com/office/drawing/2014/main" id="{BB9AEFFA-267E-4581-9AC5-A75F10DB22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762000</xdr:colOff>
      <xdr:row>1</xdr:row>
      <xdr:rowOff>116417</xdr:rowOff>
    </xdr:from>
    <xdr:to>
      <xdr:col>8</xdr:col>
      <xdr:colOff>3835400</xdr:colOff>
      <xdr:row>7</xdr:row>
      <xdr:rowOff>69427</xdr:rowOff>
    </xdr:to>
    <xdr:pic>
      <xdr:nvPicPr>
        <xdr:cNvPr id="6" name="Picture 5">
          <a:extLst>
            <a:ext uri="{FF2B5EF4-FFF2-40B4-BE49-F238E27FC236}">
              <a16:creationId xmlns:a16="http://schemas.microsoft.com/office/drawing/2014/main" id="{8B1BABA1-629C-47C0-98FA-A0454CE15824}"/>
            </a:ext>
            <a:ext uri="{C183D7F6-B498-43B3-948B-1728B52AA6E4}">
              <adec:decorative xmlns:adec="http://schemas.microsoft.com/office/drawing/2017/decorative" val="1"/>
            </a:ext>
          </a:extLst>
        </xdr:cNvPr>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1980"/>
        <a:stretch/>
      </xdr:blipFill>
      <xdr:spPr bwMode="auto">
        <a:xfrm>
          <a:off x="2533650" y="306917"/>
          <a:ext cx="7778750" cy="1096010"/>
        </a:xfrm>
        <a:prstGeom prst="rect">
          <a:avLst/>
        </a:prstGeom>
        <a:noFill/>
        <a:ln>
          <a:noFill/>
        </a:ln>
        <a:extLst>
          <a:ext uri="{53640926-AAD7-44D8-BBD7-CCE9431645EC}">
            <a14:shadowObscured xmlns:a14="http://schemas.microsoft.com/office/drawing/2010/main"/>
          </a:ext>
        </a:extLst>
      </xdr:spPr>
    </xdr:pic>
    <xdr:clientData/>
  </xdr:twoCellAnchor>
  <xdr:twoCellAnchor>
    <xdr:from>
      <xdr:col>5</xdr:col>
      <xdr:colOff>623661</xdr:colOff>
      <xdr:row>50</xdr:row>
      <xdr:rowOff>95251</xdr:rowOff>
    </xdr:from>
    <xdr:to>
      <xdr:col>8</xdr:col>
      <xdr:colOff>4624161</xdr:colOff>
      <xdr:row>78</xdr:row>
      <xdr:rowOff>54429</xdr:rowOff>
    </xdr:to>
    <xdr:sp macro="" textlink="">
      <xdr:nvSpPr>
        <xdr:cNvPr id="7" name="TextBox 6">
          <a:extLst>
            <a:ext uri="{FF2B5EF4-FFF2-40B4-BE49-F238E27FC236}">
              <a16:creationId xmlns:a16="http://schemas.microsoft.com/office/drawing/2014/main" id="{C3E573BB-7A7E-4999-966E-38C05CDAEC73}"/>
            </a:ext>
          </a:extLst>
        </xdr:cNvPr>
        <xdr:cNvSpPr txBox="1"/>
      </xdr:nvSpPr>
      <xdr:spPr>
        <a:xfrm>
          <a:off x="1739447" y="9620251"/>
          <a:ext cx="9851571" cy="529317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u="sng">
              <a:latin typeface="Century Gothic" panose="020B0502020202020204" pitchFamily="34" charset="0"/>
            </a:rPr>
            <a:t>Disclaimer:</a:t>
          </a:r>
          <a:r>
            <a:rPr lang="en-US" sz="1500" b="1" u="sng" baseline="0">
              <a:latin typeface="Century Gothic" panose="020B0502020202020204" pitchFamily="34" charset="0"/>
            </a:rPr>
            <a:t> </a:t>
          </a:r>
          <a:endParaRPr lang="en-US" sz="1500" b="1" u="sng">
            <a:latin typeface="Century Gothic" panose="020B0502020202020204" pitchFamily="34" charset="0"/>
          </a:endParaRPr>
        </a:p>
        <a:p>
          <a:r>
            <a:rPr lang="en-US" sz="1300">
              <a:latin typeface="Century Gothic" panose="020B0502020202020204" pitchFamily="34" charset="0"/>
            </a:rPr>
            <a:t>This Privacy by Design Assessment report has been generated using a tool intended to provide a snapshot of the current state of privacy by design practices</a:t>
          </a:r>
          <a:r>
            <a:rPr lang="en-US" sz="1300" baseline="0">
              <a:latin typeface="Century Gothic" panose="020B0502020202020204" pitchFamily="34" charset="0"/>
            </a:rPr>
            <a:t> implemented in the in-scope application</a:t>
          </a:r>
          <a:r>
            <a:rPr lang="en-US" sz="1300">
              <a:latin typeface="Century Gothic" panose="020B0502020202020204" pitchFamily="34" charset="0"/>
            </a:rPr>
            <a:t>, and therefore the report should not be considered as legal advice or a definitive assessment of compliance.</a:t>
          </a:r>
        </a:p>
        <a:p>
          <a:endParaRPr lang="en-US" sz="1300">
            <a:latin typeface="Century Gothic" panose="020B0502020202020204" pitchFamily="34" charset="0"/>
          </a:endParaRPr>
        </a:p>
        <a:p>
          <a:r>
            <a:rPr lang="en-US" sz="1300">
              <a:latin typeface="Century Gothic" panose="020B0502020202020204" pitchFamily="34" charset="0"/>
            </a:rPr>
            <a:t>The information presented in this report is based on the data and settings provided at the time of generation and may not capture changes or developments that occur after this report's creation. Furthermore, the accuracy and completeness of the report may be influenced by the accuracy and completeness of the input data.</a:t>
          </a:r>
        </a:p>
        <a:p>
          <a:endParaRPr lang="en-US" sz="1300">
            <a:latin typeface="Century Gothic" panose="020B0502020202020204" pitchFamily="34" charset="0"/>
          </a:endParaRPr>
        </a:p>
        <a:p>
          <a:r>
            <a:rPr lang="en-US" sz="1300">
              <a:latin typeface="Century Gothic" panose="020B0502020202020204" pitchFamily="34" charset="0"/>
            </a:rPr>
            <a:t>The creators and providers of this tool, Qatar National Data Privacy Office (NDPO), disclaim any liability for the use or interpretation of this report and do not assume any responsibility for the consequences of decisions or actions taken based on the information contained herein. Organizations are ultimately responsible for their privacy practices and compliance efforts by regularly reviewing and updating relevant privacy policies and practices to maintain ongoing compliance.</a:t>
          </a:r>
        </a:p>
        <a:p>
          <a:endParaRPr lang="en-US" sz="1300">
            <a:latin typeface="Century Gothic" panose="020B0502020202020204" pitchFamily="34" charset="0"/>
          </a:endParaRPr>
        </a:p>
        <a:p>
          <a:r>
            <a:rPr lang="en-US" sz="1300">
              <a:latin typeface="Century Gothic" panose="020B0502020202020204" pitchFamily="34" charset="0"/>
            </a:rPr>
            <a:t>By using this report, you acknowledge and accept these terms and limitations.</a:t>
          </a:r>
        </a:p>
        <a:p>
          <a:endParaRPr lang="en-US" sz="1300">
            <a:latin typeface="Century Gothic" panose="020B0502020202020204" pitchFamily="34" charset="0"/>
          </a:endParaRPr>
        </a:p>
        <a:p>
          <a:r>
            <a:rPr lang="en-US" sz="1300">
              <a:latin typeface="Century Gothic" panose="020B0502020202020204" pitchFamily="34" charset="0"/>
            </a:rPr>
            <a:t>Gap</a:t>
          </a:r>
          <a:r>
            <a:rPr lang="en-US" sz="1300" baseline="0">
              <a:latin typeface="Century Gothic" panose="020B0502020202020204" pitchFamily="34" charset="0"/>
            </a:rPr>
            <a:t> descriptions and recommendations are provided exlusively for controls that are either ineffective or parially effective. When dealing with partially effective controls, it is important to note that there may be uncertainity regarding their exact level of effectiveness. As a result of which, the same gap descriptions and recommendations are applied to both ineffective and partially effective controls.</a:t>
          </a:r>
          <a:endParaRPr lang="en-US" sz="1300">
            <a:latin typeface="Century Gothic" panose="020B0502020202020204" pitchFamily="34" charset="0"/>
          </a:endParaRPr>
        </a:p>
        <a:p>
          <a:endParaRPr lang="en-US" sz="1300">
            <a:latin typeface="Century Gothic" panose="020B0502020202020204" pitchFamily="34" charset="0"/>
          </a:endParaRPr>
        </a:p>
        <a:p>
          <a:r>
            <a:rPr lang="en-US" sz="1300">
              <a:latin typeface="Century Gothic" panose="020B0502020202020204" pitchFamily="34" charset="0"/>
            </a:rPr>
            <a:t>Recommendations in the report are based on good practices and will require to be tailored/customized based on the system/application's technology and privacy landscape. It is the responsibility of the organization to implement the controls and any liability arising out of incorrect implementation is not the responsibility of NDPO.</a:t>
          </a:r>
        </a:p>
        <a:p>
          <a:endParaRPr lang="en-US" sz="1300">
            <a:latin typeface="Century Gothic" panose="020B0502020202020204" pitchFamily="34" charset="0"/>
          </a:endParaRPr>
        </a:p>
        <a:p>
          <a:r>
            <a:rPr lang="en-US" sz="1300">
              <a:latin typeface="Century Gothic" panose="020B0502020202020204" pitchFamily="34" charset="0"/>
            </a:rPr>
            <a:t> </a:t>
          </a:r>
        </a:p>
      </xdr:txBody>
    </xdr:sp>
    <xdr:clientData/>
  </xdr:twoCellAnchor>
  <xdr:twoCellAnchor>
    <xdr:from>
      <xdr:col>5</xdr:col>
      <xdr:colOff>626382</xdr:colOff>
      <xdr:row>79</xdr:row>
      <xdr:rowOff>138792</xdr:rowOff>
    </xdr:from>
    <xdr:to>
      <xdr:col>8</xdr:col>
      <xdr:colOff>4626882</xdr:colOff>
      <xdr:row>91</xdr:row>
      <xdr:rowOff>108856</xdr:rowOff>
    </xdr:to>
    <xdr:sp macro="" textlink="">
      <xdr:nvSpPr>
        <xdr:cNvPr id="8" name="TextBox 7">
          <a:extLst>
            <a:ext uri="{FF2B5EF4-FFF2-40B4-BE49-F238E27FC236}">
              <a16:creationId xmlns:a16="http://schemas.microsoft.com/office/drawing/2014/main" id="{42DDEB5E-618D-472E-9324-E284E4F7496D}"/>
            </a:ext>
          </a:extLst>
        </xdr:cNvPr>
        <xdr:cNvSpPr txBox="1"/>
      </xdr:nvSpPr>
      <xdr:spPr>
        <a:xfrm>
          <a:off x="1742168" y="15188292"/>
          <a:ext cx="9851571" cy="225606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u="sng">
              <a:latin typeface="Century Gothic" panose="020B0502020202020204" pitchFamily="34" charset="0"/>
            </a:rPr>
            <a:t>Contents of the Report:</a:t>
          </a:r>
          <a:r>
            <a:rPr lang="en-US" sz="1500" b="1" u="sng" baseline="0">
              <a:latin typeface="Century Gothic" panose="020B0502020202020204" pitchFamily="34" charset="0"/>
            </a:rPr>
            <a:t> </a:t>
          </a:r>
          <a:endParaRPr lang="en-US" sz="1500" b="1" u="sng">
            <a:latin typeface="Century Gothic" panose="020B0502020202020204" pitchFamily="34" charset="0"/>
          </a:endParaRPr>
        </a:p>
        <a:p>
          <a:endParaRPr lang="en-US" sz="1300">
            <a:latin typeface="Century Gothic" panose="020B0502020202020204" pitchFamily="34" charset="0"/>
          </a:endParaRPr>
        </a:p>
        <a:p>
          <a:r>
            <a:rPr lang="en-US" sz="1300">
              <a:latin typeface="Century Gothic" panose="020B0502020202020204" pitchFamily="34" charset="0"/>
            </a:rPr>
            <a:t>The report contains</a:t>
          </a:r>
          <a:r>
            <a:rPr lang="en-US" sz="1300" baseline="0">
              <a:latin typeface="Century Gothic" panose="020B0502020202020204" pitchFamily="34" charset="0"/>
            </a:rPr>
            <a:t> the following sections: </a:t>
          </a:r>
        </a:p>
        <a:p>
          <a:endParaRPr lang="en-US" sz="1300" baseline="0">
            <a:latin typeface="Century Gothic" panose="020B0502020202020204" pitchFamily="34" charset="0"/>
          </a:endParaRPr>
        </a:p>
        <a:p>
          <a:r>
            <a:rPr lang="en-US" sz="1300" baseline="0">
              <a:latin typeface="Century Gothic" panose="020B0502020202020204" pitchFamily="34" charset="0"/>
            </a:rPr>
            <a:t>1. Overview about the Application and Assessment - Page 3</a:t>
          </a:r>
        </a:p>
        <a:p>
          <a:endParaRPr lang="en-US" sz="1300" baseline="0">
            <a:latin typeface="Century Gothic" panose="020B0502020202020204" pitchFamily="34" charset="0"/>
          </a:endParaRPr>
        </a:p>
        <a:p>
          <a:r>
            <a:rPr lang="en-US" sz="1300" baseline="0">
              <a:latin typeface="Century Gothic" panose="020B0502020202020204" pitchFamily="34" charset="0"/>
            </a:rPr>
            <a:t>2. Assessment Report - Dashboard - Page 4</a:t>
          </a:r>
        </a:p>
        <a:p>
          <a:endParaRPr lang="en-US" sz="1300" baseline="0">
            <a:latin typeface="Century Gothic" panose="020B0502020202020204" pitchFamily="34" charset="0"/>
          </a:endParaRPr>
        </a:p>
        <a:p>
          <a:r>
            <a:rPr lang="en-US" sz="1300" baseline="0">
              <a:latin typeface="Century Gothic" panose="020B0502020202020204" pitchFamily="34" charset="0"/>
            </a:rPr>
            <a:t>3.  Privacy by Design Assessment - Findings and way forward - Page 5</a:t>
          </a:r>
        </a:p>
        <a:p>
          <a:endParaRPr lang="en-US" sz="1300" baseline="0">
            <a:latin typeface="Century Gothic" panose="020B0502020202020204" pitchFamily="34" charset="0"/>
          </a:endParaRPr>
        </a:p>
        <a:p>
          <a:endParaRPr lang="en-US" sz="1300" baseline="0">
            <a:latin typeface="Century Gothic" panose="020B0502020202020204" pitchFamily="34" charset="0"/>
          </a:endParaRPr>
        </a:p>
      </xdr:txBody>
    </xdr:sp>
    <xdr:clientData/>
  </xdr:twoCellAnchor>
  <xdr:twoCellAnchor>
    <xdr:from>
      <xdr:col>6</xdr:col>
      <xdr:colOff>1273697</xdr:colOff>
      <xdr:row>12</xdr:row>
      <xdr:rowOff>169862</xdr:rowOff>
    </xdr:from>
    <xdr:to>
      <xdr:col>8</xdr:col>
      <xdr:colOff>3190351</xdr:colOff>
      <xdr:row>14</xdr:row>
      <xdr:rowOff>174625</xdr:rowOff>
    </xdr:to>
    <xdr:sp macro="" textlink="">
      <xdr:nvSpPr>
        <xdr:cNvPr id="9" name="TextBox 8">
          <a:extLst>
            <a:ext uri="{FF2B5EF4-FFF2-40B4-BE49-F238E27FC236}">
              <a16:creationId xmlns:a16="http://schemas.microsoft.com/office/drawing/2014/main" id="{3BC19725-8370-4ADE-9EEB-8A6EBFB7FAB2}"/>
            </a:ext>
          </a:extLst>
        </xdr:cNvPr>
        <xdr:cNvSpPr txBox="1"/>
      </xdr:nvSpPr>
      <xdr:spPr>
        <a:xfrm>
          <a:off x="3051697" y="2455862"/>
          <a:ext cx="6631529" cy="385763"/>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Century Gothic" panose="020B0502020202020204" pitchFamily="34" charset="0"/>
            </a:rPr>
            <a:t>National Data Privacy Office</a:t>
          </a:r>
        </a:p>
      </xdr:txBody>
    </xdr:sp>
    <xdr:clientData/>
  </xdr:twoCellAnchor>
  <xdr:twoCellAnchor>
    <xdr:from>
      <xdr:col>5</xdr:col>
      <xdr:colOff>741362</xdr:colOff>
      <xdr:row>22</xdr:row>
      <xdr:rowOff>56469</xdr:rowOff>
    </xdr:from>
    <xdr:to>
      <xdr:col>8</xdr:col>
      <xdr:colOff>4745264</xdr:colOff>
      <xdr:row>29</xdr:row>
      <xdr:rowOff>0</xdr:rowOff>
    </xdr:to>
    <xdr:sp macro="" textlink="">
      <xdr:nvSpPr>
        <xdr:cNvPr id="10" name="TextBox 9">
          <a:extLst>
            <a:ext uri="{FF2B5EF4-FFF2-40B4-BE49-F238E27FC236}">
              <a16:creationId xmlns:a16="http://schemas.microsoft.com/office/drawing/2014/main" id="{6255AF18-D77A-4150-9280-C75F82C38DB6}"/>
            </a:ext>
          </a:extLst>
        </xdr:cNvPr>
        <xdr:cNvSpPr txBox="1"/>
      </xdr:nvSpPr>
      <xdr:spPr>
        <a:xfrm>
          <a:off x="1857148" y="4247469"/>
          <a:ext cx="9854973" cy="127703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aseline="0">
              <a:latin typeface="Century Gothic" panose="020B0502020202020204" pitchFamily="34" charset="0"/>
            </a:rPr>
            <a:t>This report is autogenerated based on the responses filled by the respective assessors using the beta version of the Privacy by Design Assessment Tool developed by the National Data Privacy Office (NDPO). </a:t>
          </a:r>
        </a:p>
        <a:p>
          <a:endParaRPr lang="en-US" sz="1300" baseline="0">
            <a:latin typeface="Century Gothic" panose="020B0502020202020204" pitchFamily="34" charset="0"/>
          </a:endParaRPr>
        </a:p>
        <a:p>
          <a:r>
            <a:rPr lang="en-US" sz="1300" baseline="0">
              <a:latin typeface="Century Gothic" panose="020B0502020202020204" pitchFamily="34" charset="0"/>
            </a:rPr>
            <a:t>Please note that the results  presented in the report are not verified by NDPO and should be merely viewed as guidance and does not certify compliance with Privacy by Design principles. </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0.37492</cdr:x>
      <cdr:y>0.44851</cdr:y>
    </cdr:from>
    <cdr:to>
      <cdr:x>0.66907</cdr:x>
      <cdr:y>0.59954</cdr:y>
    </cdr:to>
    <cdr:sp macro="" textlink="">
      <cdr:nvSpPr>
        <cdr:cNvPr id="2" name="TextBox 1">
          <a:extLst xmlns:a="http://schemas.openxmlformats.org/drawingml/2006/main">
            <a:ext uri="{FF2B5EF4-FFF2-40B4-BE49-F238E27FC236}">
              <a16:creationId xmlns:a16="http://schemas.microsoft.com/office/drawing/2014/main" id="{08666FB4-42D6-F702-AA3A-FEA595F3A426}"/>
            </a:ext>
          </a:extLst>
        </cdr:cNvPr>
        <cdr:cNvSpPr txBox="1"/>
      </cdr:nvSpPr>
      <cdr:spPr>
        <a:xfrm xmlns:a="http://schemas.openxmlformats.org/drawingml/2006/main">
          <a:off x="1812926" y="1244600"/>
          <a:ext cx="1422400" cy="419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0.39416</cdr:x>
      <cdr:y>0.49825</cdr:y>
    </cdr:from>
    <cdr:to>
      <cdr:x>0.70475</cdr:x>
      <cdr:y>0.58804</cdr:y>
    </cdr:to>
    <cdr:sp macro="" textlink="Calculations!$C$16">
      <cdr:nvSpPr>
        <cdr:cNvPr id="3" name="TextBox 2">
          <a:extLst xmlns:a="http://schemas.openxmlformats.org/drawingml/2006/main">
            <a:ext uri="{FF2B5EF4-FFF2-40B4-BE49-F238E27FC236}">
              <a16:creationId xmlns:a16="http://schemas.microsoft.com/office/drawing/2014/main" id="{F4A8AA59-413F-668E-C1CA-46AF31726CE1}"/>
            </a:ext>
          </a:extLst>
        </cdr:cNvPr>
        <cdr:cNvSpPr txBox="1"/>
      </cdr:nvSpPr>
      <cdr:spPr>
        <a:xfrm xmlns:a="http://schemas.openxmlformats.org/drawingml/2006/main">
          <a:off x="3094678" y="2188808"/>
          <a:ext cx="2438543" cy="3944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4A3F352D-83AE-4A9D-81DA-7F7C12313F82}" type="TxLink">
            <a:rPr lang="en-US" sz="1300" b="1" i="0" u="none" strike="noStrike">
              <a:solidFill>
                <a:srgbClr val="000000"/>
              </a:solidFill>
              <a:latin typeface="Calibri"/>
              <a:cs typeface="Calibri"/>
            </a:rPr>
            <a:pPr algn="ctr"/>
            <a:t>PbD Score: 80.49 out of 100</a:t>
          </a:fld>
          <a:endParaRPr lang="en-US" sz="1300" b="1"/>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296873</xdr:colOff>
      <xdr:row>0</xdr:row>
      <xdr:rowOff>158891</xdr:rowOff>
    </xdr:from>
    <xdr:to>
      <xdr:col>1</xdr:col>
      <xdr:colOff>245155</xdr:colOff>
      <xdr:row>8</xdr:row>
      <xdr:rowOff>174632</xdr:rowOff>
    </xdr:to>
    <xdr:pic>
      <xdr:nvPicPr>
        <xdr:cNvPr id="2" name="Picture 1">
          <a:extLst>
            <a:ext uri="{FF2B5EF4-FFF2-40B4-BE49-F238E27FC236}">
              <a16:creationId xmlns:a16="http://schemas.microsoft.com/office/drawing/2014/main" id="{32C7D638-58E4-4460-AD91-C84D733F2B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873" y="158891"/>
          <a:ext cx="1529432" cy="1539741"/>
        </a:xfrm>
        <a:prstGeom prst="rect">
          <a:avLst/>
        </a:prstGeom>
      </xdr:spPr>
    </xdr:pic>
    <xdr:clientData/>
  </xdr:twoCellAnchor>
  <xdr:twoCellAnchor>
    <xdr:from>
      <xdr:col>1</xdr:col>
      <xdr:colOff>253365</xdr:colOff>
      <xdr:row>6</xdr:row>
      <xdr:rowOff>62865</xdr:rowOff>
    </xdr:from>
    <xdr:to>
      <xdr:col>7</xdr:col>
      <xdr:colOff>34290</xdr:colOff>
      <xdr:row>9</xdr:row>
      <xdr:rowOff>100965</xdr:rowOff>
    </xdr:to>
    <xdr:sp macro="" textlink="">
      <xdr:nvSpPr>
        <xdr:cNvPr id="3" name="TextBox 2">
          <a:extLst>
            <a:ext uri="{FF2B5EF4-FFF2-40B4-BE49-F238E27FC236}">
              <a16:creationId xmlns:a16="http://schemas.microsoft.com/office/drawing/2014/main" id="{B05A4642-AEF8-4B2E-AC45-4061F2485E27}"/>
            </a:ext>
          </a:extLst>
        </xdr:cNvPr>
        <xdr:cNvSpPr txBox="1"/>
      </xdr:nvSpPr>
      <xdr:spPr>
        <a:xfrm>
          <a:off x="1834515" y="1205865"/>
          <a:ext cx="3438525"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chemeClr val="bg1"/>
              </a:solidFill>
            </a:rPr>
            <a:t>THANK YOU</a:t>
          </a:r>
        </a:p>
      </xdr:txBody>
    </xdr:sp>
    <xdr:clientData/>
  </xdr:twoCellAnchor>
  <xdr:oneCellAnchor>
    <xdr:from>
      <xdr:col>0</xdr:col>
      <xdr:colOff>857250</xdr:colOff>
      <xdr:row>11</xdr:row>
      <xdr:rowOff>175259</xdr:rowOff>
    </xdr:from>
    <xdr:ext cx="5886450" cy="2329816"/>
    <xdr:sp macro="" textlink="">
      <xdr:nvSpPr>
        <xdr:cNvPr id="4" name="TextBox 3">
          <a:hlinkClick xmlns:r="http://schemas.openxmlformats.org/officeDocument/2006/relationships" r:id="rId2"/>
          <a:extLst>
            <a:ext uri="{FF2B5EF4-FFF2-40B4-BE49-F238E27FC236}">
              <a16:creationId xmlns:a16="http://schemas.microsoft.com/office/drawing/2014/main" id="{E7E274AE-6B92-48A0-8340-B492903FFB54}"/>
            </a:ext>
          </a:extLst>
        </xdr:cNvPr>
        <xdr:cNvSpPr txBox="1"/>
      </xdr:nvSpPr>
      <xdr:spPr>
        <a:xfrm>
          <a:off x="857250" y="2270759"/>
          <a:ext cx="5886450" cy="2329816"/>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b="1" i="0">
              <a:solidFill>
                <a:schemeClr val="tx1"/>
              </a:solidFill>
              <a:effectLst/>
              <a:latin typeface="+mn-lt"/>
              <a:ea typeface="+mn-ea"/>
              <a:cs typeface="+mn-cs"/>
            </a:rPr>
            <a:t>Thank You!</a:t>
          </a:r>
        </a:p>
        <a:p>
          <a:endParaRPr lang="en-IN" sz="1100" b="1" i="0">
            <a:solidFill>
              <a:schemeClr val="tx1"/>
            </a:solidFill>
            <a:effectLst/>
            <a:latin typeface="+mn-lt"/>
            <a:ea typeface="+mn-ea"/>
            <a:cs typeface="+mn-cs"/>
          </a:endParaRPr>
        </a:p>
        <a:p>
          <a:r>
            <a:rPr lang="en-IN" sz="1400" b="0" i="0">
              <a:solidFill>
                <a:schemeClr val="tx1"/>
              </a:solidFill>
              <a:effectLst/>
              <a:latin typeface="+mn-lt"/>
              <a:ea typeface="+mn-ea"/>
              <a:cs typeface="+mn-cs"/>
            </a:rPr>
            <a:t>This report has been created using the "Privacy by Design" assessment tool, a product of the Qatar National Data Privacy Office (NDPO) aimed at advancing the adoption of the "privacy by design" approach within Qatari organizations.</a:t>
          </a:r>
        </a:p>
        <a:p>
          <a:r>
            <a:rPr lang="en-IN" sz="1400" b="0" i="0">
              <a:solidFill>
                <a:schemeClr val="tx1"/>
              </a:solidFill>
              <a:effectLst/>
              <a:latin typeface="+mn-lt"/>
              <a:ea typeface="+mn-ea"/>
              <a:cs typeface="+mn-cs"/>
            </a:rPr>
            <a:t>Your valuable comments and feedback are encouraged and can be directed to </a:t>
          </a:r>
          <a:r>
            <a:rPr lang="en-IN" sz="1400" b="0" i="0" u="sng">
              <a:solidFill>
                <a:srgbClr val="0070C0"/>
              </a:solidFill>
              <a:effectLst/>
              <a:latin typeface="+mn-lt"/>
              <a:ea typeface="+mn-ea"/>
              <a:cs typeface="+mn-cs"/>
            </a:rPr>
            <a:t>privacy@ncsa.gov.qa</a:t>
          </a:r>
          <a:r>
            <a:rPr lang="en-IN" sz="1400" b="0" i="0">
              <a:solidFill>
                <a:schemeClr val="tx1"/>
              </a:solidFill>
              <a:effectLst/>
              <a:latin typeface="+mn-lt"/>
              <a:ea typeface="+mn-ea"/>
              <a:cs typeface="+mn-cs"/>
            </a:rPr>
            <a:t>. We appreciate your engagement.</a:t>
          </a:r>
          <a:endParaRPr lang="en-IN" sz="1200" b="0" i="0">
            <a:solidFill>
              <a:schemeClr val="tx1"/>
            </a:solidFill>
            <a:effectLst/>
            <a:latin typeface="+mn-lt"/>
            <a:ea typeface="+mn-ea"/>
            <a:cs typeface="+mn-cs"/>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37292</xdr:colOff>
      <xdr:row>0</xdr:row>
      <xdr:rowOff>28131</xdr:rowOff>
    </xdr:from>
    <xdr:to>
      <xdr:col>2</xdr:col>
      <xdr:colOff>820440</xdr:colOff>
      <xdr:row>0</xdr:row>
      <xdr:rowOff>869168</xdr:rowOff>
    </xdr:to>
    <xdr:pic>
      <xdr:nvPicPr>
        <xdr:cNvPr id="2" name="Picture 1">
          <a:extLst>
            <a:ext uri="{FF2B5EF4-FFF2-40B4-BE49-F238E27FC236}">
              <a16:creationId xmlns:a16="http://schemas.microsoft.com/office/drawing/2014/main" id="{B9002D6E-0F0A-0194-5B2F-B85F0236463D}"/>
            </a:ext>
          </a:extLst>
        </xdr:cNvPr>
        <xdr:cNvPicPr>
          <a:picLocks noChangeAspect="1"/>
        </xdr:cNvPicPr>
      </xdr:nvPicPr>
      <xdr:blipFill>
        <a:blip xmlns:r="http://schemas.openxmlformats.org/officeDocument/2006/relationships" r:embed="rId1"/>
        <a:stretch>
          <a:fillRect/>
        </a:stretch>
      </xdr:blipFill>
      <xdr:spPr>
        <a:xfrm>
          <a:off x="646892" y="28131"/>
          <a:ext cx="2868065" cy="841037"/>
        </a:xfrm>
        <a:prstGeom prst="rect">
          <a:avLst/>
        </a:prstGeom>
      </xdr:spPr>
    </xdr:pic>
    <xdr:clientData/>
  </xdr:twoCellAnchor>
  <xdr:twoCellAnchor editAs="oneCell">
    <xdr:from>
      <xdr:col>2</xdr:col>
      <xdr:colOff>9486900</xdr:colOff>
      <xdr:row>13</xdr:row>
      <xdr:rowOff>90485</xdr:rowOff>
    </xdr:from>
    <xdr:to>
      <xdr:col>2</xdr:col>
      <xdr:colOff>9895523</xdr:colOff>
      <xdr:row>13</xdr:row>
      <xdr:rowOff>333373</xdr:rowOff>
    </xdr:to>
    <xdr:pic>
      <xdr:nvPicPr>
        <xdr:cNvPr id="5" name="Picture 4">
          <a:extLst>
            <a:ext uri="{FF2B5EF4-FFF2-40B4-BE49-F238E27FC236}">
              <a16:creationId xmlns:a16="http://schemas.microsoft.com/office/drawing/2014/main" id="{2763FF07-87EC-4800-B2EE-3A6329C0A3B4}"/>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7639" r="93750">
                      <a14:foregroundMark x1="23958" y1="16250" x2="23958" y2="16250"/>
                      <a14:foregroundMark x1="23958" y1="16250" x2="23958" y2="16250"/>
                      <a14:foregroundMark x1="23958" y1="16250" x2="23958" y2="16250"/>
                      <a14:foregroundMark x1="23958" y1="16250" x2="23958" y2="16250"/>
                      <a14:foregroundMark x1="23958" y1="16250" x2="23958" y2="16250"/>
                      <a14:foregroundMark x1="23958" y1="16250" x2="23958" y2="16250"/>
                      <a14:foregroundMark x1="10417" y1="40625" x2="10417" y2="40625"/>
                      <a14:foregroundMark x1="10417" y1="40625" x2="10417" y2="40625"/>
                      <a14:foregroundMark x1="7986" y1="54375" x2="7986" y2="54375"/>
                      <a14:foregroundMark x1="7986" y1="54375" x2="7986" y2="54375"/>
                      <a14:foregroundMark x1="43403" y1="78125" x2="43403" y2="78125"/>
                      <a14:foregroundMark x1="30903" y1="50625" x2="30903" y2="50625"/>
                      <a14:foregroundMark x1="30903" y1="50625" x2="30903" y2="50625"/>
                      <a14:foregroundMark x1="17361" y1="47500" x2="17361" y2="47500"/>
                      <a14:foregroundMark x1="17361" y1="47500" x2="17361" y2="47500"/>
                      <a14:foregroundMark x1="77778" y1="48125" x2="77778" y2="48125"/>
                      <a14:foregroundMark x1="77778" y1="48125" x2="77778" y2="48125"/>
                      <a14:foregroundMark x1="73958" y1="35000" x2="73958" y2="35000"/>
                      <a14:foregroundMark x1="73958" y1="35000" x2="73958" y2="35000"/>
                      <a14:foregroundMark x1="64236" y1="25000" x2="64236" y2="25000"/>
                      <a14:foregroundMark x1="64236" y1="25000" x2="64236" y2="25000"/>
                      <a14:foregroundMark x1="93750" y1="45625" x2="93750" y2="45625"/>
                      <a14:foregroundMark x1="93750" y1="45625" x2="93750" y2="45625"/>
                    </a14:backgroundRemoval>
                  </a14:imgEffect>
                </a14:imgLayer>
              </a14:imgProps>
            </a:ext>
            <a:ext uri="{28A0092B-C50C-407E-A947-70E740481C1C}">
              <a14:useLocalDpi xmlns:a14="http://schemas.microsoft.com/office/drawing/2010/main" val="0"/>
            </a:ext>
          </a:extLst>
        </a:blip>
        <a:stretch>
          <a:fillRect/>
        </a:stretch>
      </xdr:blipFill>
      <xdr:spPr>
        <a:xfrm>
          <a:off x="11639550" y="21921785"/>
          <a:ext cx="408623" cy="2428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100712</xdr:colOff>
      <xdr:row>0</xdr:row>
      <xdr:rowOff>44321</xdr:rowOff>
    </xdr:from>
    <xdr:to>
      <xdr:col>2</xdr:col>
      <xdr:colOff>130969</xdr:colOff>
      <xdr:row>0</xdr:row>
      <xdr:rowOff>547569</xdr:rowOff>
    </xdr:to>
    <xdr:pic>
      <xdr:nvPicPr>
        <xdr:cNvPr id="4" name="Picture 3">
          <a:extLst>
            <a:ext uri="{FF2B5EF4-FFF2-40B4-BE49-F238E27FC236}">
              <a16:creationId xmlns:a16="http://schemas.microsoft.com/office/drawing/2014/main" id="{3036C46E-1605-46D8-A7C6-6EFA2DC5180B}"/>
            </a:ext>
          </a:extLst>
        </xdr:cNvPr>
        <xdr:cNvPicPr>
          <a:picLocks noChangeAspect="1"/>
        </xdr:cNvPicPr>
      </xdr:nvPicPr>
      <xdr:blipFill>
        <a:blip xmlns:r="http://schemas.openxmlformats.org/officeDocument/2006/relationships" r:embed="rId1"/>
        <a:stretch>
          <a:fillRect/>
        </a:stretch>
      </xdr:blipFill>
      <xdr:spPr>
        <a:xfrm>
          <a:off x="255493" y="44321"/>
          <a:ext cx="1673320" cy="503248"/>
        </a:xfrm>
        <a:prstGeom prst="rect">
          <a:avLst/>
        </a:prstGeom>
      </xdr:spPr>
    </xdr:pic>
    <xdr:clientData/>
  </xdr:twoCellAnchor>
  <xdr:twoCellAnchor>
    <xdr:from>
      <xdr:col>5</xdr:col>
      <xdr:colOff>2476500</xdr:colOff>
      <xdr:row>47</xdr:row>
      <xdr:rowOff>83344</xdr:rowOff>
    </xdr:from>
    <xdr:to>
      <xdr:col>6</xdr:col>
      <xdr:colOff>1619250</xdr:colOff>
      <xdr:row>50</xdr:row>
      <xdr:rowOff>154781</xdr:rowOff>
    </xdr:to>
    <xdr:sp macro="[0]!Assessment_TextBox1_Click" textlink="">
      <xdr:nvSpPr>
        <xdr:cNvPr id="2" name="TextBox 1">
          <a:extLst>
            <a:ext uri="{FF2B5EF4-FFF2-40B4-BE49-F238E27FC236}">
              <a16:creationId xmlns:a16="http://schemas.microsoft.com/office/drawing/2014/main" id="{24E75FC7-788F-44EA-85BB-4887325B4903}"/>
            </a:ext>
          </a:extLst>
        </xdr:cNvPr>
        <xdr:cNvSpPr txBox="1"/>
      </xdr:nvSpPr>
      <xdr:spPr>
        <a:xfrm>
          <a:off x="13132594" y="23907750"/>
          <a:ext cx="1666875" cy="64293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solidFill>
            </a:rPr>
            <a:t>Produce Report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387349</xdr:colOff>
      <xdr:row>3</xdr:row>
      <xdr:rowOff>158750</xdr:rowOff>
    </xdr:from>
    <xdr:to>
      <xdr:col>26</xdr:col>
      <xdr:colOff>206375</xdr:colOff>
      <xdr:row>18</xdr:row>
      <xdr:rowOff>57150</xdr:rowOff>
    </xdr:to>
    <xdr:graphicFrame macro="">
      <xdr:nvGraphicFramePr>
        <xdr:cNvPr id="2" name="Chart 1">
          <a:extLst>
            <a:ext uri="{FF2B5EF4-FFF2-40B4-BE49-F238E27FC236}">
              <a16:creationId xmlns:a16="http://schemas.microsoft.com/office/drawing/2014/main" id="{EA9408CA-5E28-8B6D-A1F4-1858430E1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180974</xdr:colOff>
      <xdr:row>3</xdr:row>
      <xdr:rowOff>82550</xdr:rowOff>
    </xdr:from>
    <xdr:to>
      <xdr:col>19</xdr:col>
      <xdr:colOff>107949</xdr:colOff>
      <xdr:row>20</xdr:row>
      <xdr:rowOff>44450</xdr:rowOff>
    </xdr:to>
    <xdr:graphicFrame macro="">
      <xdr:nvGraphicFramePr>
        <xdr:cNvPr id="3" name="Chart 2">
          <a:extLst>
            <a:ext uri="{FF2B5EF4-FFF2-40B4-BE49-F238E27FC236}">
              <a16:creationId xmlns:a16="http://schemas.microsoft.com/office/drawing/2014/main" id="{09A6E2DC-D209-4088-5FF7-54AAB9BE5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0.37492</cdr:x>
      <cdr:y>0.44851</cdr:y>
    </cdr:from>
    <cdr:to>
      <cdr:x>0.66907</cdr:x>
      <cdr:y>0.59954</cdr:y>
    </cdr:to>
    <cdr:sp macro="" textlink="">
      <cdr:nvSpPr>
        <cdr:cNvPr id="2" name="TextBox 1">
          <a:extLst xmlns:a="http://schemas.openxmlformats.org/drawingml/2006/main">
            <a:ext uri="{FF2B5EF4-FFF2-40B4-BE49-F238E27FC236}">
              <a16:creationId xmlns:a16="http://schemas.microsoft.com/office/drawing/2014/main" id="{08666FB4-42D6-F702-AA3A-FEA595F3A426}"/>
            </a:ext>
          </a:extLst>
        </cdr:cNvPr>
        <cdr:cNvSpPr txBox="1"/>
      </cdr:nvSpPr>
      <cdr:spPr>
        <a:xfrm xmlns:a="http://schemas.openxmlformats.org/drawingml/2006/main">
          <a:off x="1812926" y="1244600"/>
          <a:ext cx="1422400" cy="419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0.35608</cdr:x>
      <cdr:y>0.50428</cdr:y>
    </cdr:from>
    <cdr:to>
      <cdr:x>0.70557</cdr:x>
      <cdr:y>0.5795</cdr:y>
    </cdr:to>
    <cdr:sp macro="" textlink="Calculations!$C$16">
      <cdr:nvSpPr>
        <cdr:cNvPr id="3" name="TextBox 2">
          <a:extLst xmlns:a="http://schemas.openxmlformats.org/drawingml/2006/main">
            <a:ext uri="{FF2B5EF4-FFF2-40B4-BE49-F238E27FC236}">
              <a16:creationId xmlns:a16="http://schemas.microsoft.com/office/drawing/2014/main" id="{F4A8AA59-413F-668E-C1CA-46AF31726CE1}"/>
            </a:ext>
          </a:extLst>
        </cdr:cNvPr>
        <cdr:cNvSpPr txBox="1"/>
      </cdr:nvSpPr>
      <cdr:spPr>
        <a:xfrm xmlns:a="http://schemas.openxmlformats.org/drawingml/2006/main">
          <a:off x="1889172" y="1530641"/>
          <a:ext cx="1854154" cy="22830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A35FEDD-2138-4BE8-82B7-88745C2A314A}" type="TxLink">
            <a:rPr lang="en-US" sz="1000" b="0" i="0" u="none" strike="noStrike">
              <a:solidFill>
                <a:srgbClr val="000000"/>
              </a:solidFill>
              <a:latin typeface="Calibri"/>
              <a:cs typeface="Calibri"/>
            </a:rPr>
            <a:pPr algn="ctr"/>
            <a:t>PbD Score: 80.49 out of 100</a:t>
          </a:fld>
          <a:endParaRPr lang="en-US" sz="7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creativecommons.org/licenses/by-nc-nd/4.0/?ref=chooser-v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B3550-3E49-4538-81A4-F0351E413FF5}">
  <sheetPr codeName="Sheet4"/>
  <dimension ref="A2:G47"/>
  <sheetViews>
    <sheetView topLeftCell="A34" workbookViewId="0">
      <selection activeCell="C34" sqref="C34"/>
    </sheetView>
  </sheetViews>
  <sheetFormatPr baseColWidth="10" defaultColWidth="8.83203125" defaultRowHeight="15" x14ac:dyDescent="0.2"/>
  <cols>
    <col min="3" max="3" width="17.1640625" bestFit="1" customWidth="1"/>
    <col min="4" max="4" width="34.83203125" style="1" customWidth="1"/>
    <col min="5" max="6" width="23.1640625" customWidth="1"/>
    <col min="7" max="7" width="46.33203125" customWidth="1"/>
    <col min="8" max="8" width="23.1640625" customWidth="1"/>
  </cols>
  <sheetData>
    <row r="2" spans="1:7" ht="16" x14ac:dyDescent="0.2">
      <c r="A2" t="s">
        <v>155</v>
      </c>
      <c r="C2" t="s">
        <v>9</v>
      </c>
      <c r="D2" s="1" t="s">
        <v>154</v>
      </c>
      <c r="E2" s="1" t="s">
        <v>116</v>
      </c>
      <c r="F2" s="1" t="s">
        <v>117</v>
      </c>
      <c r="G2" s="1" t="s">
        <v>118</v>
      </c>
    </row>
    <row r="3" spans="1:7" ht="16" x14ac:dyDescent="0.2">
      <c r="A3" t="str">
        <f>IF(C3="","",1)</f>
        <v/>
      </c>
      <c r="B3" t="str">
        <f>IF(A3="","",SUM(A3:$A$3))</f>
        <v/>
      </c>
      <c r="C3" t="str">
        <f>IF(OR(Assessment!G3="Ineffective", Assessment!G3="Partially Effective"),Assessment!D3,"")</f>
        <v/>
      </c>
      <c r="D3" s="1" t="str">
        <f>IF(OR(Assessment!G3="Ineffective", Assessment!G3="Partially Effective"),Assessment!E3,"")</f>
        <v/>
      </c>
      <c r="E3" s="1" t="str">
        <f>IF(C3='Working Sheet'!B3, 'Working Sheet'!D3, "")</f>
        <v/>
      </c>
      <c r="F3" s="1" t="str">
        <f>IF(C3='Working Sheet'!B3, 'Working Sheet'!E3, "")</f>
        <v/>
      </c>
      <c r="G3" s="1" t="str">
        <f>IF(C3='Working Sheet'!B3, 'Working Sheet'!F3, "")</f>
        <v/>
      </c>
    </row>
    <row r="4" spans="1:7" ht="208" x14ac:dyDescent="0.2">
      <c r="A4">
        <f t="shared" ref="A4:A45" si="0">IF(C4="","",1)</f>
        <v>1</v>
      </c>
      <c r="B4">
        <f>IF(A4="","",SUM(A$3:$A4))</f>
        <v>1</v>
      </c>
      <c r="C4" t="str">
        <f>IF(OR(Assessment!G4="Ineffective", Assessment!G4="Partially Effective"),Assessment!D4,"")</f>
        <v>Privacy Notice - Contents</v>
      </c>
      <c r="D4" s="1" t="str">
        <f>IF(OR(Assessment!G4="Ineffective", Assessment!G4="Partially Effective"),Assessment!E4,"")</f>
        <v xml:space="preserve">The privacy notice presented to users (individuals) should cover all aspects of personal data processing carried out by the system/application and should be in accordance with PDPPL requirements.  </v>
      </c>
      <c r="E4" s="1" t="str">
        <f>IF(C4='Working Sheet'!B4, 'Working Sheet'!D4, "")</f>
        <v>Privacy Notice - Contents</v>
      </c>
      <c r="F4" s="1" t="str">
        <f>IF(C4='Working Sheet'!B4, 'Working Sheet'!E4, "")</f>
        <v xml:space="preserve">There is no process in place to ensure Privacy Notice adheres with the requirements of PDPPL. </v>
      </c>
      <c r="G4" s="1" t="str">
        <f>IF(C4='Working Sheet'!B4, 'Working Sheet'!F4, "")</f>
        <v>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Update the Privacy Notice template based on review comments.
- Publish the Privacy Notice on the system/application. 
For further reference:
Privacy Notice - Guideline for Regulated Entities</v>
      </c>
    </row>
    <row r="5" spans="1:7" ht="160" x14ac:dyDescent="0.2">
      <c r="A5">
        <f t="shared" si="0"/>
        <v>1</v>
      </c>
      <c r="B5">
        <f>IF(A5="","",SUM(A$3:$A5))</f>
        <v>2</v>
      </c>
      <c r="C5" t="str">
        <f>IF(OR(Assessment!G5="Ineffective", Assessment!G5="Partially Effective"),Assessment!D5,"")</f>
        <v xml:space="preserve">Updated Privacy Notice </v>
      </c>
      <c r="D5" s="1" t="str">
        <f>IF(OR(Assessment!G5="Ineffective", Assessment!G5="Partially Effective"),Assessment!E5,"")</f>
        <v>Any changes to personal data processing shall be notified to the users (individuals) without undue delay through displaying an updated privacy notice.</v>
      </c>
      <c r="E5" s="1" t="str">
        <f>IF(C5='Working Sheet'!B5, 'Working Sheet'!D5, "")</f>
        <v xml:space="preserve">Updated Privacy Notice </v>
      </c>
      <c r="F5" s="1" t="str">
        <f>IF(C5='Working Sheet'!B5, 'Working Sheet'!E5, "")</f>
        <v xml:space="preserve">There is no process in place to notify the individuals on changes in personal data processing activities via an updated Privacy Notice. </v>
      </c>
      <c r="G5" s="1" t="str">
        <f>IF(C5='Working Sheet'!B5, 'Working Sheet'!F5, "")</f>
        <v>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For further reference:
Privacy Notice - Guideline for Regulated Entities</v>
      </c>
    </row>
    <row r="6" spans="1:7" ht="16" x14ac:dyDescent="0.2">
      <c r="A6" t="str">
        <f t="shared" si="0"/>
        <v/>
      </c>
      <c r="B6" t="str">
        <f>IF(A6="","",SUM(A$3:$A6))</f>
        <v/>
      </c>
      <c r="C6" t="str">
        <f>IF(OR(Assessment!G6="Ineffective", Assessment!G6="Partially Effective"),Assessment!D6,"")</f>
        <v/>
      </c>
      <c r="D6" s="1" t="str">
        <f>IF(OR(Assessment!G6="Ineffective", Assessment!G6="Partially Effective"),Assessment!E6,"")</f>
        <v/>
      </c>
      <c r="E6" s="1" t="str">
        <f>IF(C6='Working Sheet'!B6, 'Working Sheet'!D6, "")</f>
        <v/>
      </c>
      <c r="F6" s="1" t="str">
        <f>IF(C6='Working Sheet'!B6, 'Working Sheet'!E6, "")</f>
        <v/>
      </c>
      <c r="G6" s="1" t="str">
        <f>IF(C6='Working Sheet'!B6, 'Working Sheet'!F6, "")</f>
        <v/>
      </c>
    </row>
    <row r="7" spans="1:7" ht="240" x14ac:dyDescent="0.2">
      <c r="A7">
        <f t="shared" si="0"/>
        <v>1</v>
      </c>
      <c r="B7">
        <f>IF(A7="","",SUM(A$3:$A7))</f>
        <v>3</v>
      </c>
      <c r="C7" t="str">
        <f>IF(OR(Assessment!G7="Ineffective", Assessment!G7="Partially Effective"),Assessment!D7,"")</f>
        <v>Cookie Policy</v>
      </c>
      <c r="D7" s="1" t="str">
        <f>IF(OR(Assessment!G7="Ineffective", Assessment!G7="Partially Effective"),Assessment!E7,"")</f>
        <v xml:space="preserve">Website should notify the users (individuals) on the use of cookies by displaying a cookie policy. The cookie policy should clearly describe the types of cookies collected (First Party, Third Party, Session Cookies, Persistent cookies) along with the rationale for collecting them. </v>
      </c>
      <c r="E7" s="1" t="str">
        <f>IF(C7='Working Sheet'!B7, 'Working Sheet'!D7, "")</f>
        <v>Cookie Policy</v>
      </c>
      <c r="F7" s="1" t="str">
        <f>IF(C7='Working Sheet'!B7, 'Working Sheet'!E7, "")</f>
        <v>There is no functionality in place to present the individuals with a Cookie Policy.</v>
      </c>
      <c r="G7" s="1" t="str">
        <f>IF(C7='Working Sheet'!B7, 'Working Sheet'!F7, "")</f>
        <v>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Guidance on Cookie policy contents: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v>
      </c>
    </row>
    <row r="8" spans="1:7" ht="16" x14ac:dyDescent="0.2">
      <c r="A8" t="str">
        <f t="shared" si="0"/>
        <v/>
      </c>
      <c r="B8" t="str">
        <f>IF(A8="","",SUM(A$3:$A8))</f>
        <v/>
      </c>
      <c r="C8" t="str">
        <f>IF(OR(Assessment!G8="Ineffective", Assessment!G8="Partially Effective"),Assessment!D8,"")</f>
        <v/>
      </c>
      <c r="D8" s="1" t="str">
        <f>IF(OR(Assessment!G8="Ineffective", Assessment!G8="Partially Effective"),Assessment!E8,"")</f>
        <v/>
      </c>
      <c r="E8" s="1" t="str">
        <f>IF(C8='Working Sheet'!B8, 'Working Sheet'!D8, "")</f>
        <v/>
      </c>
      <c r="F8" s="1" t="str">
        <f>IF(C8='Working Sheet'!B8, 'Working Sheet'!E8, "")</f>
        <v/>
      </c>
      <c r="G8" s="1" t="str">
        <f>IF(C8='Working Sheet'!B8, 'Working Sheet'!F8, "")</f>
        <v/>
      </c>
    </row>
    <row r="9" spans="1:7" ht="16" x14ac:dyDescent="0.2">
      <c r="A9" t="str">
        <f t="shared" si="0"/>
        <v/>
      </c>
      <c r="B9" t="str">
        <f>IF(A9="","",SUM(A$3:$A9))</f>
        <v/>
      </c>
      <c r="C9" t="str">
        <f>IF(OR(Assessment!G9="Ineffective", Assessment!G9="Partially Effective"),Assessment!D9,"")</f>
        <v/>
      </c>
      <c r="D9" s="1" t="str">
        <f>IF(OR(Assessment!G9="Ineffective", Assessment!G9="Partially Effective"),Assessment!E9,"")</f>
        <v/>
      </c>
      <c r="E9" s="1" t="str">
        <f>IF(C9='Working Sheet'!B9, 'Working Sheet'!D9, "")</f>
        <v/>
      </c>
      <c r="F9" s="1" t="str">
        <f>IF(C9='Working Sheet'!B9, 'Working Sheet'!E9, "")</f>
        <v/>
      </c>
      <c r="G9" s="1" t="str">
        <f>IF(C9='Working Sheet'!B9, 'Working Sheet'!F9, "")</f>
        <v/>
      </c>
    </row>
    <row r="10" spans="1:7" ht="16" x14ac:dyDescent="0.2">
      <c r="A10" t="str">
        <f t="shared" si="0"/>
        <v/>
      </c>
      <c r="B10" t="str">
        <f>IF(A10="","",SUM(A$3:$A10))</f>
        <v/>
      </c>
      <c r="C10" t="str">
        <f>IF(OR(Assessment!G10="Ineffective", Assessment!G10="Partially Effective"),Assessment!D10,"")</f>
        <v/>
      </c>
      <c r="D10" s="1" t="str">
        <f>IF(OR(Assessment!G10="Ineffective", Assessment!G10="Partially Effective"),Assessment!E10,"")</f>
        <v/>
      </c>
      <c r="E10" s="1" t="str">
        <f>IF(C10='Working Sheet'!B10, 'Working Sheet'!D10, "")</f>
        <v/>
      </c>
      <c r="F10" s="1" t="str">
        <f>IF(C10='Working Sheet'!B10, 'Working Sheet'!E10, "")</f>
        <v/>
      </c>
      <c r="G10" s="1" t="str">
        <f>IF(C10='Working Sheet'!B10, 'Working Sheet'!F10, "")</f>
        <v/>
      </c>
    </row>
    <row r="11" spans="1:7" ht="16" x14ac:dyDescent="0.2">
      <c r="A11" t="str">
        <f t="shared" si="0"/>
        <v/>
      </c>
      <c r="B11" t="str">
        <f>IF(A11="","",SUM(A$3:$A11))</f>
        <v/>
      </c>
      <c r="C11" t="str">
        <f>IF(OR(Assessment!G11="Ineffective", Assessment!G11="Partially Effective"),Assessment!D11,"")</f>
        <v/>
      </c>
      <c r="D11" s="1" t="str">
        <f>IF(OR(Assessment!G11="Ineffective", Assessment!G11="Partially Effective"),Assessment!E11,"")</f>
        <v/>
      </c>
      <c r="E11" s="1" t="str">
        <f>IF(C11='Working Sheet'!B11, 'Working Sheet'!D11, "")</f>
        <v/>
      </c>
      <c r="F11" s="1" t="str">
        <f>IF(C11='Working Sheet'!B11, 'Working Sheet'!E11, "")</f>
        <v/>
      </c>
      <c r="G11" s="1" t="str">
        <f>IF(C11='Working Sheet'!B11, 'Working Sheet'!F11, "")</f>
        <v/>
      </c>
    </row>
    <row r="12" spans="1:7" ht="16" x14ac:dyDescent="0.2">
      <c r="A12" t="str">
        <f t="shared" si="0"/>
        <v/>
      </c>
      <c r="B12" t="str">
        <f>IF(A12="","",SUM(A$3:$A12))</f>
        <v/>
      </c>
      <c r="C12" t="str">
        <f>IF(OR(Assessment!G12="Ineffective", Assessment!G12="Partially Effective"),Assessment!D12,"")</f>
        <v/>
      </c>
      <c r="D12" s="1" t="str">
        <f>IF(OR(Assessment!G12="Ineffective", Assessment!G12="Partially Effective"),Assessment!E12,"")</f>
        <v/>
      </c>
      <c r="E12" s="1" t="str">
        <f>IF(C12='Working Sheet'!B12, 'Working Sheet'!D12, "")</f>
        <v/>
      </c>
      <c r="F12" s="1" t="str">
        <f>IF(C12='Working Sheet'!B12, 'Working Sheet'!E12, "")</f>
        <v/>
      </c>
      <c r="G12" s="1" t="str">
        <f>IF(C12='Working Sheet'!B12, 'Working Sheet'!F12, "")</f>
        <v/>
      </c>
    </row>
    <row r="13" spans="1:7" ht="16" x14ac:dyDescent="0.2">
      <c r="A13" t="str">
        <f t="shared" si="0"/>
        <v/>
      </c>
      <c r="B13" t="str">
        <f>IF(A13="","",SUM(A$3:$A13))</f>
        <v/>
      </c>
      <c r="C13" t="str">
        <f>IF(OR(Assessment!G13="Ineffective", Assessment!G13="Partially Effective"),Assessment!D13,"")</f>
        <v/>
      </c>
      <c r="D13" s="1" t="str">
        <f>IF(OR(Assessment!G13="Ineffective", Assessment!G13="Partially Effective"),Assessment!E13,"")</f>
        <v/>
      </c>
      <c r="E13" s="1" t="str">
        <f>IF(C13='Working Sheet'!B13, 'Working Sheet'!D13, "")</f>
        <v/>
      </c>
      <c r="F13" s="1" t="str">
        <f>IF(C13='Working Sheet'!B13, 'Working Sheet'!E13, "")</f>
        <v/>
      </c>
      <c r="G13" s="1" t="str">
        <f>IF(C13='Working Sheet'!B13, 'Working Sheet'!F13, "")</f>
        <v/>
      </c>
    </row>
    <row r="14" spans="1:7" ht="192" x14ac:dyDescent="0.2">
      <c r="A14">
        <f t="shared" si="0"/>
        <v>1</v>
      </c>
      <c r="B14">
        <f>IF(A14="","",SUM(A$3:$A14))</f>
        <v>4</v>
      </c>
      <c r="C14" t="str">
        <f>IF(OR(Assessment!G14="Ineffective", Assessment!G14="Partially Effective"),Assessment!D14,"")</f>
        <v>Records/Inventory</v>
      </c>
      <c r="D14" s="1" t="str">
        <f>IF(OR(Assessment!G14="Ineffective", Assessment!G14="Partially Effective"),Assessment!E14,"")</f>
        <v xml:space="preserve">Records of Processing Activities/Personal data inventories should be developed for all personal data processing activities carried out using the system/application. </v>
      </c>
      <c r="E14" s="1" t="str">
        <f>IF(C14='Working Sheet'!B14, 'Working Sheet'!D14, "")</f>
        <v>Records/Inventory</v>
      </c>
      <c r="F14" s="1" t="str">
        <f>IF(C14='Working Sheet'!B14, 'Working Sheet'!E14, "")</f>
        <v xml:space="preserve">Personal data inventories are not developed for processing activities carried out using the system/application. </v>
      </c>
      <c r="G14" s="1" t="str">
        <f>IF(C14='Working Sheet'!B14, 'Working Sheet'!F14, "")</f>
        <v>It is recommended to perform the following:
- Identify all processing activities carried out using the system/application.
- Develop a Record of all the identified processing activities by inventorizing all personal data attributes processed by the system.
- Review and update the Records of processing activity on a periodic basis. 
For further reference:
Record of Processing Activities - Guideline for Regulated Entities</v>
      </c>
    </row>
    <row r="15" spans="1:7" ht="16" x14ac:dyDescent="0.2">
      <c r="A15" t="str">
        <f t="shared" si="0"/>
        <v/>
      </c>
      <c r="B15" t="str">
        <f>IF(A15="","",SUM(A$3:$A15))</f>
        <v/>
      </c>
      <c r="C15" t="str">
        <f>IF(OR(Assessment!G15="Ineffective", Assessment!G15="Partially Effective"),Assessment!D15,"")</f>
        <v/>
      </c>
      <c r="D15" s="1" t="str">
        <f>IF(OR(Assessment!G15="Ineffective", Assessment!G15="Partially Effective"),Assessment!E15,"")</f>
        <v/>
      </c>
      <c r="E15" s="1" t="str">
        <f>IF(C15='Working Sheet'!B15, 'Working Sheet'!D15, "")</f>
        <v/>
      </c>
      <c r="F15" s="1" t="str">
        <f>IF(C15='Working Sheet'!B15, 'Working Sheet'!E15, "")</f>
        <v/>
      </c>
      <c r="G15" s="1" t="str">
        <f>IF(C15='Working Sheet'!B15, 'Working Sheet'!F15, "")</f>
        <v/>
      </c>
    </row>
    <row r="16" spans="1:7" ht="16" x14ac:dyDescent="0.2">
      <c r="A16" t="str">
        <f t="shared" si="0"/>
        <v/>
      </c>
      <c r="B16" t="str">
        <f>IF(A16="","",SUM(A$3:$A16))</f>
        <v/>
      </c>
      <c r="C16" t="str">
        <f>IF(OR(Assessment!G16="Ineffective", Assessment!G16="Partially Effective"),Assessment!D16,"")</f>
        <v/>
      </c>
      <c r="D16" s="1" t="str">
        <f>IF(OR(Assessment!G16="Ineffective", Assessment!G16="Partially Effective"),Assessment!E16,"")</f>
        <v/>
      </c>
      <c r="E16" s="1" t="str">
        <f>IF(C16='Working Sheet'!B16, 'Working Sheet'!D16, "")</f>
        <v/>
      </c>
      <c r="F16" s="1" t="str">
        <f>IF(C16='Working Sheet'!B16, 'Working Sheet'!E16, "")</f>
        <v/>
      </c>
      <c r="G16" s="1" t="str">
        <f>IF(C16='Working Sheet'!B16, 'Working Sheet'!F16, "")</f>
        <v/>
      </c>
    </row>
    <row r="17" spans="1:7" ht="256" x14ac:dyDescent="0.2">
      <c r="A17">
        <f t="shared" si="0"/>
        <v>1</v>
      </c>
      <c r="B17">
        <f>IF(A17="","",SUM(A$3:$A17))</f>
        <v>5</v>
      </c>
      <c r="C17" t="str">
        <f>IF(OR(Assessment!G17="Ineffective", Assessment!G17="Partially Effective"),Assessment!D17,"")</f>
        <v>Data Minimization</v>
      </c>
      <c r="D17" s="1" t="str">
        <f>IF(OR(Assessment!G17="Ineffective", Assessment!G17="Partially Effective"),Assessment!E17,"")</f>
        <v xml:space="preserve">System/application should limit the use and processing of personal data in such a manner that it is adequate, relevant and necessary to fulfil the stated purposes in the Privacy Notice. </v>
      </c>
      <c r="E17" s="1" t="str">
        <f>IF(C17='Working Sheet'!B17, 'Working Sheet'!D17, "")</f>
        <v>Data Minimization</v>
      </c>
      <c r="F17" s="1" t="str">
        <f>IF(C17='Working Sheet'!B17, 'Working Sheet'!E17, "")</f>
        <v xml:space="preserve">There is no process in place that limits the usage of personal data to what is adequate, relevant and necessary. </v>
      </c>
      <c r="G17" s="1" t="str">
        <f>IF(C17='Working Sheet'!B17, 'Working Sheet'!F17, "")</f>
        <v>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For further reference: 
Principles of Data Privacy - Guideline for Regulated Entities</v>
      </c>
    </row>
    <row r="18" spans="1:7" ht="128" x14ac:dyDescent="0.2">
      <c r="A18">
        <f t="shared" si="0"/>
        <v>1</v>
      </c>
      <c r="B18">
        <f>IF(A18="","",SUM(A$3:$A18))</f>
        <v>6</v>
      </c>
      <c r="C18" t="str">
        <f>IF(OR(Assessment!G18="Ineffective", Assessment!G18="Partially Effective"),Assessment!D18,"")</f>
        <v>Data Accuracy</v>
      </c>
      <c r="D18" s="1" t="str">
        <f>IF(OR(Assessment!G18="Ineffective", Assessment!G18="Partially Effective"),Assessment!E18,"")</f>
        <v xml:space="preserve">Appropriate measures should be in place to ensure personal data processed by the system/application are accurate and kept up-to date. </v>
      </c>
      <c r="E18" s="1" t="str">
        <f>IF(C18='Working Sheet'!B18, 'Working Sheet'!D18, "")</f>
        <v>Data Accuracy</v>
      </c>
      <c r="F18" s="1" t="str">
        <f>IF(C18='Working Sheet'!B18, 'Working Sheet'!E18, "")</f>
        <v xml:space="preserve">There are no measures in place to ensure accuracy of personal data is maintained. </v>
      </c>
      <c r="G18" s="1" t="str">
        <f>IF(C18='Working Sheet'!B18, 'Working Sheet'!F18, "")</f>
        <v>It is recommended to perform the following:
- Provide a functionality for the individuals to review and update their personal information.
- Send a periodic reminder to the individuals to review and update their personal data. 
For further reference: 
Principles of Data Privacy - Guideline for Regulated Entities</v>
      </c>
    </row>
    <row r="19" spans="1:7" ht="224" x14ac:dyDescent="0.2">
      <c r="A19">
        <f t="shared" si="0"/>
        <v>1</v>
      </c>
      <c r="B19">
        <f>IF(A19="","",SUM(A$3:$A19))</f>
        <v>7</v>
      </c>
      <c r="C19" t="str">
        <f>IF(OR(Assessment!G19="Ineffective", Assessment!G19="Partially Effective"),Assessment!D19,"")</f>
        <v>Anonymization</v>
      </c>
      <c r="D19" s="1" t="str">
        <f>IF(OR(Assessment!G19="Ineffective", Assessment!G19="Partially Effective"),Assessment!E19,"")</f>
        <v xml:space="preserve">Enable anonymization/de-identification on all instances of personal data, wherever, there is no requirement to maintain the same in clear text. </v>
      </c>
      <c r="E19" s="1" t="str">
        <f>IF(C19='Working Sheet'!B19, 'Working Sheet'!D19, "")</f>
        <v>Anonymization</v>
      </c>
      <c r="F19" s="1" t="str">
        <f>IF(C19='Working Sheet'!B19, 'Working Sheet'!E19, "")</f>
        <v xml:space="preserve">Anonymization/de-identification is not performed. </v>
      </c>
      <c r="G19" s="1" t="str">
        <f>IF(C19='Working Sheet'!B19, 'Working Sheet'!F19, "")</f>
        <v xml:space="preserve">It is recommended to perform the following:
- Privacy Office along with relevant stakeholders (eg. owners and users of Applications and Systems, BU Heads) should determine if there are any use cases for Anonymization/De-identification of personal data contained in the application/system.
- Upon identification of use cases, relevant technique for data anonymization (such as Data Masking, Generalization, Data swapping, Data perturbation, etc.) should be identified
- Perform data anonymization in accordance with technique identified.
- Perform periodic reviews to inspect if the anonymization technique is implemented adequately. </v>
      </c>
    </row>
    <row r="20" spans="1:7" ht="16" x14ac:dyDescent="0.2">
      <c r="A20" t="str">
        <f t="shared" si="0"/>
        <v/>
      </c>
      <c r="B20" t="str">
        <f>IF(A20="","",SUM(A$3:$A20))</f>
        <v/>
      </c>
      <c r="C20" t="str">
        <f>IF(OR(Assessment!G20="Ineffective", Assessment!G20="Partially Effective"),Assessment!D20,"")</f>
        <v/>
      </c>
      <c r="D20" s="1" t="str">
        <f>IF(OR(Assessment!G20="Ineffective", Assessment!G20="Partially Effective"),Assessment!E20,"")</f>
        <v/>
      </c>
      <c r="E20" s="1" t="str">
        <f>IF(C20='Working Sheet'!B20, 'Working Sheet'!D20, "")</f>
        <v/>
      </c>
      <c r="F20" s="1" t="str">
        <f>IF(C20='Working Sheet'!B20, 'Working Sheet'!E20, "")</f>
        <v/>
      </c>
      <c r="G20" s="1" t="str">
        <f>IF(C20='Working Sheet'!B20, 'Working Sheet'!F20, "")</f>
        <v/>
      </c>
    </row>
    <row r="21" spans="1:7" ht="335" x14ac:dyDescent="0.2">
      <c r="A21">
        <f t="shared" si="0"/>
        <v>1</v>
      </c>
      <c r="B21">
        <f>IF(A21="","",SUM(A$3:$A21))</f>
        <v>8</v>
      </c>
      <c r="C21" t="str">
        <f>IF(OR(Assessment!G21="Ineffective", Assessment!G21="Partially Effective"),Assessment!D21,"")</f>
        <v>Retention Policy Enforcement</v>
      </c>
      <c r="D21" s="1" t="str">
        <f>IF(OR(Assessment!G21="Ineffective", Assessment!G21="Partially Effective"),Assessment!E21,"")</f>
        <v xml:space="preserve">Retention policy should enforced on the system/application in accordance with the defined retention periods in such a manner that ensures personal data is disposed/anonymized post expiry of retention period. </v>
      </c>
      <c r="E21" s="1" t="str">
        <f>IF(C21='Working Sheet'!B21, 'Working Sheet'!D21, "")</f>
        <v>Retention Policy Enforcement</v>
      </c>
      <c r="F21" s="1" t="str">
        <f>IF(C21='Working Sheet'!B21, 'Working Sheet'!E21, "")</f>
        <v xml:space="preserve">Retention policy is not enforced on the system/application. </v>
      </c>
      <c r="G21" s="1" t="str">
        <f>IF(C21='Working Sheet'!B21, 'Working Sheet'!F21, "")</f>
        <v>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For further reference: 
Principles of Data Privacy - Guideline for Regulated Entities</v>
      </c>
    </row>
    <row r="22" spans="1:7" ht="16" x14ac:dyDescent="0.2">
      <c r="A22" t="str">
        <f t="shared" si="0"/>
        <v/>
      </c>
      <c r="B22" t="str">
        <f>IF(A22="","",SUM(A$3:$A22))</f>
        <v/>
      </c>
      <c r="C22" t="str">
        <f>IF(OR(Assessment!G22="Ineffective", Assessment!G22="Partially Effective"),Assessment!D22,"")</f>
        <v/>
      </c>
      <c r="D22" s="1" t="str">
        <f>IF(OR(Assessment!G22="Ineffective", Assessment!G22="Partially Effective"),Assessment!E22,"")</f>
        <v/>
      </c>
      <c r="E22" s="1" t="str">
        <f>IF(C22='Working Sheet'!B22, 'Working Sheet'!D22, "")</f>
        <v/>
      </c>
      <c r="F22" s="1" t="str">
        <f>IF(C22='Working Sheet'!B22, 'Working Sheet'!E22, "")</f>
        <v/>
      </c>
      <c r="G22" s="1" t="str">
        <f>IF(C22='Working Sheet'!B22, 'Working Sheet'!F22, "")</f>
        <v/>
      </c>
    </row>
    <row r="23" spans="1:7" ht="16" x14ac:dyDescent="0.2">
      <c r="A23" t="str">
        <f t="shared" si="0"/>
        <v/>
      </c>
      <c r="B23" t="str">
        <f>IF(A23="","",SUM(A$3:$A23))</f>
        <v/>
      </c>
      <c r="C23" t="str">
        <f>IF(OR(Assessment!G23="Ineffective", Assessment!G23="Partially Effective"),Assessment!D23,"")</f>
        <v/>
      </c>
      <c r="D23" s="1" t="str">
        <f>IF(OR(Assessment!G23="Ineffective", Assessment!G23="Partially Effective"),Assessment!E23,"")</f>
        <v/>
      </c>
      <c r="E23" s="1" t="str">
        <f>IF(C23='Working Sheet'!B23, 'Working Sheet'!D23, "")</f>
        <v/>
      </c>
      <c r="F23" s="1" t="str">
        <f>IF(C23='Working Sheet'!B23, 'Working Sheet'!E23, "")</f>
        <v/>
      </c>
      <c r="G23" s="1" t="str">
        <f>IF(C23='Working Sheet'!B23, 'Working Sheet'!F23, "")</f>
        <v/>
      </c>
    </row>
    <row r="24" spans="1:7" ht="96" x14ac:dyDescent="0.2">
      <c r="A24">
        <f t="shared" si="0"/>
        <v>1</v>
      </c>
      <c r="B24">
        <f>IF(A24="","",SUM(A$3:$A24))</f>
        <v>9</v>
      </c>
      <c r="C24" t="str">
        <f>IF(OR(Assessment!G24="Ineffective", Assessment!G24="Partially Effective"),Assessment!D24,"")</f>
        <v>Limit usage of Third Parties</v>
      </c>
      <c r="D24" s="1" t="str">
        <f>IF(OR(Assessment!G24="Ineffective", Assessment!G24="Partially Effective"),Assessment!E24,"")</f>
        <v xml:space="preserve">Disclose personal data to third parties only for carrying out personal data processing activities that are stated in the Privacy Notice. </v>
      </c>
      <c r="E24" s="1" t="str">
        <f>IF(C24='Working Sheet'!B24, 'Working Sheet'!D24, "")</f>
        <v>Limit usage of Third Parties</v>
      </c>
      <c r="F24" s="1" t="str">
        <f>IF(C24='Working Sheet'!B24, 'Working Sheet'!E24, "")</f>
        <v xml:space="preserve">There is no process to ensure personal data is disclosed to third parties only for carrying out personal data processing activities stated in the Privacy Notice. </v>
      </c>
      <c r="G24" s="1" t="str">
        <f>IF(C24='Working Sheet'!B24, 'Working Sheet'!F24, "")</f>
        <v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v>
      </c>
    </row>
    <row r="25" spans="1:7" ht="208" x14ac:dyDescent="0.2">
      <c r="A25">
        <f t="shared" si="0"/>
        <v>1</v>
      </c>
      <c r="B25">
        <f>IF(A25="","",SUM(A$3:$A25))</f>
        <v>10</v>
      </c>
      <c r="C25" t="str">
        <f>IF(OR(Assessment!G25="Ineffective", Assessment!G25="Partially Effective"),Assessment!D25,"")</f>
        <v>Limit disclosure of personal data attributes</v>
      </c>
      <c r="D25" s="1" t="str">
        <f>IF(OR(Assessment!G25="Ineffective", Assessment!G25="Partially Effective"),Assessment!E25,"")</f>
        <v>Limit the disclosure of personal data attributes to third parties only to the extent it is necessary to fulfil the purposes stated in the Privacy Notice.</v>
      </c>
      <c r="E25" s="1" t="str">
        <f>IF(C25='Working Sheet'!B25, 'Working Sheet'!D25, "")</f>
        <v>Limit disclosure of personal data attributes</v>
      </c>
      <c r="F25" s="1" t="str">
        <f>IF(C25='Working Sheet'!B25, 'Working Sheet'!E25, "")</f>
        <v xml:space="preserve">There is no process to limit the disclosure of personal data attributes to what is necessary. </v>
      </c>
      <c r="G25" s="1" t="str">
        <f>IF(C25='Working Sheet'!B25, 'Working Sheet'!F25, "")</f>
        <v xml:space="preserve">It is recommended to perform the following:
- Identify all personal data processing activities (using the system/application) carried out by the vendors and the purpose for carrying out the same.
- Identify the personal data attributes disclosed to the vendor for fulfilling the purpose for which they are carrying out personal data processing activities.
- Assess the necessity for disclosure of every single personal data attribute and identify redundant personal data disclosures.
- Restrict the disclosure to only those attributes that are necessary by removing all redundant personal data disclosures. </v>
      </c>
    </row>
    <row r="26" spans="1:7" ht="144" x14ac:dyDescent="0.2">
      <c r="A26">
        <f t="shared" si="0"/>
        <v>1</v>
      </c>
      <c r="B26">
        <f>IF(A26="","",SUM(A$3:$A26))</f>
        <v>11</v>
      </c>
      <c r="C26" t="str">
        <f>IF(OR(Assessment!G26="Ineffective", Assessment!G26="Partially Effective"),Assessment!D26,"")</f>
        <v>Access controls</v>
      </c>
      <c r="D26" s="1" t="str">
        <f>IF(OR(Assessment!G26="Ineffective", Assessment!G26="Partially Effective"),Assessment!E26,"")</f>
        <v xml:space="preserve">Appropriate levels of access controls should be in place to restrict access of personal data to authorized personnel. </v>
      </c>
      <c r="E26" s="1" t="str">
        <f>IF(C26='Working Sheet'!B27, 'Working Sheet'!D27, "")</f>
        <v>Access controls</v>
      </c>
      <c r="F26" s="1" t="str">
        <f>IF(C26='Working Sheet'!B27, 'Working Sheet'!E27, "")</f>
        <v>There is no process that restricts data access only to authorized personnel</v>
      </c>
      <c r="G26" s="1" t="str">
        <f>IF(C26='Working Sheet'!B27, 'Working Sheet'!F27, "")</f>
        <v>It is recommended to perform the following:
-  Leverage RBAC principles to define roles and associated access privileges within the application and identify the different roles that require access to personal data. 
- Assign access permissions to each role based on their job responsibilities and the principle of least privilege.
- Implement robust user authentication mechanisms to verify the identity and authorization of users accessing the application.</v>
      </c>
    </row>
    <row r="27" spans="1:7" ht="224" x14ac:dyDescent="0.2">
      <c r="A27">
        <f t="shared" si="0"/>
        <v>1</v>
      </c>
      <c r="B27">
        <f>IF(A27="","",SUM(A$3:$A27))</f>
        <v>12</v>
      </c>
      <c r="C27" t="str">
        <f>IF(OR(Assessment!G27="Ineffective", Assessment!G27="Partially Effective"),Assessment!D27,"")</f>
        <v>Audit Logging</v>
      </c>
      <c r="D27" s="1" t="str">
        <f>IF(OR(Assessment!G27="Ineffective", Assessment!G27="Partially Effective"),Assessment!E27,"")</f>
        <v xml:space="preserve">Enable audit logging on system/application to keep a track of activities carried out by the Administrators and users. </v>
      </c>
      <c r="E27" s="1" t="str">
        <f>IF(C27='Working Sheet'!B28, 'Working Sheet'!D28, "")</f>
        <v>Audit Logging</v>
      </c>
      <c r="F27" s="1" t="str">
        <f>IF(C27='Working Sheet'!B28, 'Working Sheet'!E28, "")</f>
        <v xml:space="preserve">Audit logging is not enabled on the system/application. </v>
      </c>
      <c r="G27" s="1" t="str">
        <f>IF(C27='Working Sheet'!B28, 'Working Sheet'!F28, "")</f>
        <v xml:space="preserve">It is recommended to perform the following:
- Identify and finalize the specific activities and events that need to be logged such as user logins, data access, modifications, configuration changes, failed login attempts, and administrative actions.
- Design the logging system to capture relevant information (timestamp of the event, user ID, the IP address or device identifier, the action performed, etc.) about each logged event. 
- Securely store the logs (for a defined time period) to safeguard them from unauthorized access, tampering, or deletion. 
- Regularly review and analyze the audit logs to identify any suspicious activities and anomalies. </v>
      </c>
    </row>
    <row r="28" spans="1:7" ht="144" x14ac:dyDescent="0.2">
      <c r="A28">
        <f t="shared" si="0"/>
        <v>1</v>
      </c>
      <c r="B28">
        <f>IF(A28="","",SUM(A$3:$A28))</f>
        <v>13</v>
      </c>
      <c r="C28" t="str">
        <f>IF(OR(Assessment!G28="Ineffective", Assessment!G28="Partially Effective"),Assessment!D28,"")</f>
        <v>Data Backups</v>
      </c>
      <c r="D28" s="1" t="str">
        <f>IF(OR(Assessment!G28="Ineffective", Assessment!G28="Partially Effective"),Assessment!E28,"")</f>
        <v xml:space="preserve">Critical data residing on the system/application should be backed up on a periodic basis. </v>
      </c>
      <c r="E28" s="1" t="str">
        <f>IF(C28='Working Sheet'!B29, 'Working Sheet'!D29, "")</f>
        <v>Data Backups</v>
      </c>
      <c r="F28" s="1" t="str">
        <f>IF(C28='Working Sheet'!B29, 'Working Sheet'!E29, "")</f>
        <v xml:space="preserve">Critical data residing on the system/application is not backed up. </v>
      </c>
      <c r="G28" s="1" t="str">
        <f>IF(C28='Working Sheet'!B29, 'Working Sheet'!F29, "")</f>
        <v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v>
      </c>
    </row>
    <row r="29" spans="1:7" ht="16" x14ac:dyDescent="0.2">
      <c r="A29" t="str">
        <f t="shared" si="0"/>
        <v/>
      </c>
      <c r="B29" t="str">
        <f>IF(A29="","",SUM(A$3:$A29))</f>
        <v/>
      </c>
      <c r="C29" t="str">
        <f>IF(OR(Assessment!G29="Ineffective", Assessment!G29="Partially Effective"),Assessment!D29,"")</f>
        <v/>
      </c>
      <c r="D29" s="1" t="str">
        <f>IF(OR(Assessment!G29="Ineffective", Assessment!G29="Partially Effective"),Assessment!E29,"")</f>
        <v/>
      </c>
      <c r="E29" s="1" t="str">
        <f>IF(C29='Working Sheet'!B30, 'Working Sheet'!D30, "")</f>
        <v/>
      </c>
      <c r="F29" s="1" t="str">
        <f>IF(C29='Working Sheet'!B30, 'Working Sheet'!E30, "")</f>
        <v/>
      </c>
      <c r="G29" s="1" t="str">
        <f>IF(C29='Working Sheet'!B30, 'Working Sheet'!F30, "")</f>
        <v/>
      </c>
    </row>
    <row r="30" spans="1:7" ht="16" x14ac:dyDescent="0.2">
      <c r="A30" t="str">
        <f t="shared" si="0"/>
        <v/>
      </c>
      <c r="B30" t="str">
        <f>IF(A30="","",SUM(A$3:$A30))</f>
        <v/>
      </c>
      <c r="C30" t="str">
        <f>IF(OR(Assessment!G30="Ineffective", Assessment!G30="Partially Effective"),Assessment!D30,"")</f>
        <v/>
      </c>
      <c r="D30" s="1" t="str">
        <f>IF(OR(Assessment!G30="Ineffective", Assessment!G30="Partially Effective"),Assessment!E30,"")</f>
        <v/>
      </c>
      <c r="E30" s="1" t="str">
        <f>IF(C30='Working Sheet'!B31, 'Working Sheet'!D31, "")</f>
        <v/>
      </c>
      <c r="F30" s="1" t="str">
        <f>IF(C30='Working Sheet'!B31, 'Working Sheet'!E31, "")</f>
        <v/>
      </c>
      <c r="G30" s="1" t="str">
        <f>IF(C30='Working Sheet'!B31, 'Working Sheet'!F31, "")</f>
        <v/>
      </c>
    </row>
    <row r="31" spans="1:7" ht="16" x14ac:dyDescent="0.2">
      <c r="A31" t="str">
        <f t="shared" si="0"/>
        <v/>
      </c>
      <c r="B31" t="str">
        <f>IF(A31="","",SUM(A$3:$A31))</f>
        <v/>
      </c>
      <c r="C31" t="str">
        <f>IF(OR(Assessment!G31="Ineffective", Assessment!G31="Partially Effective"),Assessment!D31,"")</f>
        <v/>
      </c>
      <c r="D31" s="1" t="str">
        <f>IF(OR(Assessment!G31="Ineffective", Assessment!G31="Partially Effective"),Assessment!E31,"")</f>
        <v/>
      </c>
      <c r="E31" s="1" t="str">
        <f>IF(C31='Working Sheet'!B32, 'Working Sheet'!D32, "")</f>
        <v/>
      </c>
      <c r="F31" s="1" t="str">
        <f>IF(C31='Working Sheet'!B32, 'Working Sheet'!E32, "")</f>
        <v/>
      </c>
      <c r="G31" s="1" t="str">
        <f>IF(C31='Working Sheet'!B32, 'Working Sheet'!F32, "")</f>
        <v/>
      </c>
    </row>
    <row r="32" spans="1:7" ht="176" x14ac:dyDescent="0.2">
      <c r="A32">
        <f t="shared" si="0"/>
        <v>1</v>
      </c>
      <c r="B32">
        <f>IF(A32="","",SUM(A$3:$A32))</f>
        <v>14</v>
      </c>
      <c r="C32" t="str">
        <f>IF(OR(Assessment!G32="Ineffective", Assessment!G32="Partially Effective"),Assessment!D32,"")</f>
        <v>Idle Session Timeout</v>
      </c>
      <c r="D32" s="1" t="str">
        <f>IF(OR(Assessment!G32="Ineffective", Assessment!G32="Partially Effective"),Assessment!E32,"")</f>
        <v xml:space="preserve">User sessions should expire upon inactivity for a certain period of time. Criticality of the underlying system/application should be factored-in while setting the duration of idle session timeout. </v>
      </c>
      <c r="E32" s="1" t="str">
        <f>IF(C32='Working Sheet'!B33, 'Working Sheet'!D33, "")</f>
        <v>Idle Session Timeout</v>
      </c>
      <c r="F32" s="1" t="str">
        <f>IF(C32='Working Sheet'!B33, 'Working Sheet'!E33, "")</f>
        <v xml:space="preserve">Sessions do not expire upon inactivity for a certain period of time. </v>
      </c>
      <c r="G32" s="1" t="str">
        <f>IF(C32='Working Sheet'!B33, 'Working Sheet'!F33, "")</f>
        <v xml:space="preserve">It is recommended to perform the following:
- Define a session timeout policy for the system/application depending on its criticality (idle time session time out must be low for critical systems/applications and high for lesser critical systems/applications).
-  Implement a mechanism to track user activity and update the session status via running server side tracking or client side scripts. 
- Implement a mechanism to log out the user from the system/application in accordance with the session timeout policy. </v>
      </c>
    </row>
    <row r="33" spans="1:7" ht="16" x14ac:dyDescent="0.2">
      <c r="A33" t="str">
        <f t="shared" si="0"/>
        <v/>
      </c>
      <c r="B33" t="str">
        <f>IF(A33="","",SUM(A$3:$A33))</f>
        <v/>
      </c>
      <c r="C33" t="str">
        <f>IF(OR(Assessment!G33="Ineffective", Assessment!G33="Partially Effective"),Assessment!D33,"")</f>
        <v/>
      </c>
      <c r="D33" s="1" t="str">
        <f>IF(OR(Assessment!G33="Ineffective", Assessment!G33="Partially Effective"),Assessment!E33,"")</f>
        <v/>
      </c>
      <c r="E33" s="1" t="str">
        <f>IF(C33='Working Sheet'!B34, 'Working Sheet'!D34, "")</f>
        <v/>
      </c>
      <c r="F33" s="1" t="str">
        <f>IF(C33='Working Sheet'!B34, 'Working Sheet'!E34, "")</f>
        <v/>
      </c>
      <c r="G33" s="1" t="str">
        <f>IF(C33='Working Sheet'!B34, 'Working Sheet'!F34, "")</f>
        <v/>
      </c>
    </row>
    <row r="34" spans="1:7" ht="16" x14ac:dyDescent="0.2">
      <c r="A34" t="str">
        <f t="shared" si="0"/>
        <v/>
      </c>
      <c r="B34" t="str">
        <f>IF(A34="","",SUM(A$3:$A34))</f>
        <v/>
      </c>
      <c r="C34" t="str">
        <f>IF(OR(Assessment!G34="Ineffective", Assessment!G34="Partially Effective"),Assessment!D34,"")</f>
        <v/>
      </c>
      <c r="D34" s="1" t="str">
        <f>IF(OR(Assessment!G34="Ineffective", Assessment!G34="Partially Effective"),Assessment!E34,"")</f>
        <v/>
      </c>
      <c r="E34" s="1" t="str">
        <f>IF(C34='Working Sheet'!B35, 'Working Sheet'!D35, "")</f>
        <v/>
      </c>
      <c r="F34" s="1" t="str">
        <f>IF(C34='Working Sheet'!B35, 'Working Sheet'!E35, "")</f>
        <v/>
      </c>
      <c r="G34" s="1" t="str">
        <f>IF(C34='Working Sheet'!B35, 'Working Sheet'!F35, "")</f>
        <v/>
      </c>
    </row>
    <row r="35" spans="1:7" ht="16" x14ac:dyDescent="0.2">
      <c r="A35" t="str">
        <f t="shared" si="0"/>
        <v/>
      </c>
      <c r="B35" t="str">
        <f>IF(A35="","",SUM(A$3:$A35))</f>
        <v/>
      </c>
      <c r="C35" t="str">
        <f>IF(OR(Assessment!G35="Ineffective", Assessment!G35="Partially Effective"),Assessment!D35,"")</f>
        <v/>
      </c>
      <c r="D35" s="1" t="str">
        <f>IF(OR(Assessment!G35="Ineffective", Assessment!G35="Partially Effective"),Assessment!E35,"")</f>
        <v/>
      </c>
      <c r="E35" s="1" t="str">
        <f>IF(C35='Working Sheet'!B36, 'Working Sheet'!D36, "")</f>
        <v/>
      </c>
      <c r="F35" s="1" t="str">
        <f>IF(C35='Working Sheet'!B36, 'Working Sheet'!E36, "")</f>
        <v/>
      </c>
      <c r="G35" s="1" t="str">
        <f>IF(C35='Working Sheet'!B36, 'Working Sheet'!F36, "")</f>
        <v/>
      </c>
    </row>
    <row r="36" spans="1:7" ht="128" x14ac:dyDescent="0.2">
      <c r="A36">
        <f t="shared" si="0"/>
        <v>1</v>
      </c>
      <c r="B36">
        <f>IF(A36="","",SUM(A$3:$A36))</f>
        <v>15</v>
      </c>
      <c r="C36" t="str">
        <f>IF(OR(Assessment!G36="Ineffective", Assessment!G36="Partially Effective"),Assessment!D36,"")</f>
        <v>Patching</v>
      </c>
      <c r="D36" s="1" t="str">
        <f>IF(OR(Assessment!G36="Ineffective", Assessment!G36="Partially Effective"),Assessment!E36,"")</f>
        <v xml:space="preserve">All critical vulnerabilities should be patched without undue delay. </v>
      </c>
      <c r="E36" s="1" t="str">
        <f>IF(C36='Working Sheet'!B37, 'Working Sheet'!D37, "")</f>
        <v>Patching</v>
      </c>
      <c r="F36" s="1" t="str">
        <f>IF(C36='Working Sheet'!B37, 'Working Sheet'!E37, "")</f>
        <v xml:space="preserve">Critical vulnerabilities are not patched without undue delay. </v>
      </c>
      <c r="G36" s="1" t="str">
        <f>IF(C36='Working Sheet'!B37, 'Working Sheet'!F37, "")</f>
        <v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v>
      </c>
    </row>
    <row r="37" spans="1:7" ht="16" x14ac:dyDescent="0.2">
      <c r="A37" t="str">
        <f t="shared" si="0"/>
        <v/>
      </c>
      <c r="B37" t="str">
        <f>IF(A37="","",SUM(A$3:$A37))</f>
        <v/>
      </c>
      <c r="C37" t="str">
        <f>IF(OR(Assessment!G37="Ineffective", Assessment!G37="Partially Effective"),Assessment!D37,"")</f>
        <v/>
      </c>
      <c r="D37" s="1" t="str">
        <f>IF(OR(Assessment!G37="Ineffective", Assessment!G37="Partially Effective"),Assessment!E37,"")</f>
        <v/>
      </c>
      <c r="E37" s="1" t="str">
        <f>IF(C37='Working Sheet'!B38, 'Working Sheet'!D38, "")</f>
        <v/>
      </c>
      <c r="F37" s="1" t="str">
        <f>IF(C37='Working Sheet'!B38, 'Working Sheet'!E38, "")</f>
        <v/>
      </c>
      <c r="G37" s="1" t="str">
        <f>IF(C37='Working Sheet'!B38, 'Working Sheet'!F38, "")</f>
        <v/>
      </c>
    </row>
    <row r="38" spans="1:7" ht="16" x14ac:dyDescent="0.2">
      <c r="A38" t="str">
        <f t="shared" si="0"/>
        <v/>
      </c>
      <c r="B38" t="str">
        <f>IF(A38="","",SUM(A$3:$A38))</f>
        <v/>
      </c>
      <c r="C38" t="str">
        <f>IF(OR(Assessment!G38="Ineffective", Assessment!G38="Partially Effective"),Assessment!D38,"")</f>
        <v/>
      </c>
      <c r="D38" s="1" t="str">
        <f>IF(OR(Assessment!G38="Ineffective", Assessment!G38="Partially Effective"),Assessment!E38,"")</f>
        <v/>
      </c>
      <c r="E38" s="1" t="str">
        <f>IF(C38='Working Sheet'!B39, 'Working Sheet'!D39, "")</f>
        <v/>
      </c>
      <c r="F38" s="1" t="str">
        <f>IF(C38='Working Sheet'!B39, 'Working Sheet'!E39, "")</f>
        <v/>
      </c>
      <c r="G38" s="1" t="str">
        <f>IF(C38='Working Sheet'!B39, 'Working Sheet'!F39, "")</f>
        <v/>
      </c>
    </row>
    <row r="39" spans="1:7" ht="16" x14ac:dyDescent="0.2">
      <c r="A39" t="str">
        <f t="shared" si="0"/>
        <v/>
      </c>
      <c r="B39" t="str">
        <f>IF(A39="","",SUM(A$3:$A39))</f>
        <v/>
      </c>
      <c r="C39" t="str">
        <f>IF(OR(Assessment!G39="Ineffective", Assessment!G39="Partially Effective"),Assessment!D39,"")</f>
        <v/>
      </c>
      <c r="D39" s="1" t="str">
        <f>IF(OR(Assessment!G39="Ineffective", Assessment!G39="Partially Effective"),Assessment!E39,"")</f>
        <v/>
      </c>
      <c r="E39" s="1" t="str">
        <f>IF(C39='Working Sheet'!B40, 'Working Sheet'!D40, "")</f>
        <v/>
      </c>
      <c r="F39" s="1" t="str">
        <f>IF(C39='Working Sheet'!B40, 'Working Sheet'!E40, "")</f>
        <v/>
      </c>
      <c r="G39" s="1" t="str">
        <f>IF(C39='Working Sheet'!B40, 'Working Sheet'!F40, "")</f>
        <v/>
      </c>
    </row>
    <row r="40" spans="1:7" ht="16" x14ac:dyDescent="0.2">
      <c r="A40" t="str">
        <f t="shared" si="0"/>
        <v/>
      </c>
      <c r="B40" t="str">
        <f>IF(A40="","",SUM(A$3:$A40))</f>
        <v/>
      </c>
      <c r="C40" t="str">
        <f>IF(OR(Assessment!G40="Ineffective", Assessment!G40="Partially Effective"),Assessment!D40,"")</f>
        <v/>
      </c>
      <c r="D40" s="1" t="str">
        <f>IF(OR(Assessment!G40="Ineffective", Assessment!G40="Partially Effective"),Assessment!E40,"")</f>
        <v/>
      </c>
      <c r="E40" s="1" t="str">
        <f>IF(C40='Working Sheet'!B41, 'Working Sheet'!D41, "")</f>
        <v/>
      </c>
      <c r="F40" s="1" t="str">
        <f>IF(C40='Working Sheet'!B41, 'Working Sheet'!E41, "")</f>
        <v/>
      </c>
      <c r="G40" s="1" t="str">
        <f>IF(C40='Working Sheet'!B41, 'Working Sheet'!F41, "")</f>
        <v/>
      </c>
    </row>
    <row r="41" spans="1:7" ht="16" x14ac:dyDescent="0.2">
      <c r="A41" t="str">
        <f t="shared" si="0"/>
        <v/>
      </c>
      <c r="B41" t="str">
        <f>IF(A41="","",SUM(A$3:$A41))</f>
        <v/>
      </c>
      <c r="C41" t="str">
        <f>IF(OR(Assessment!G41="Ineffective", Assessment!G41="Partially Effective"),Assessment!D41,"")</f>
        <v/>
      </c>
      <c r="D41" s="1" t="str">
        <f>IF(OR(Assessment!G41="Ineffective", Assessment!G41="Partially Effective"),Assessment!E41,"")</f>
        <v/>
      </c>
      <c r="E41" s="1" t="str">
        <f>IF(C41='Working Sheet'!B42, 'Working Sheet'!D42, "")</f>
        <v/>
      </c>
      <c r="F41" s="1" t="str">
        <f>IF(C41='Working Sheet'!B42, 'Working Sheet'!E42, "")</f>
        <v/>
      </c>
      <c r="G41" s="1" t="str">
        <f>IF(C41='Working Sheet'!B42, 'Working Sheet'!F42, "")</f>
        <v/>
      </c>
    </row>
    <row r="42" spans="1:7" ht="16" x14ac:dyDescent="0.2">
      <c r="A42" t="str">
        <f t="shared" si="0"/>
        <v/>
      </c>
      <c r="B42" t="str">
        <f>IF(A42="","",SUM(A$3:$A42))</f>
        <v/>
      </c>
      <c r="C42" t="str">
        <f>IF(OR(Assessment!G42="Ineffective", Assessment!G42="Partially Effective"),Assessment!D42,"")</f>
        <v/>
      </c>
      <c r="D42" s="1" t="str">
        <f>IF(OR(Assessment!G42="Ineffective", Assessment!G42="Partially Effective"),Assessment!E42,"")</f>
        <v/>
      </c>
      <c r="E42" t="str">
        <f>IF(C42='Working Sheet'!B43, 'Working Sheet'!D43, "")</f>
        <v/>
      </c>
      <c r="F42" t="str">
        <f>IF(C42='Working Sheet'!B43, 'Working Sheet'!E43, "")</f>
        <v/>
      </c>
      <c r="G42" t="str">
        <f>IF(C42='Working Sheet'!B43, 'Working Sheet'!F43, "")</f>
        <v/>
      </c>
    </row>
    <row r="43" spans="1:7" ht="16" x14ac:dyDescent="0.2">
      <c r="A43" t="str">
        <f t="shared" si="0"/>
        <v/>
      </c>
      <c r="B43" t="str">
        <f>IF(A43="","",SUM(A$3:$A43))</f>
        <v/>
      </c>
      <c r="C43" t="str">
        <f>IF(OR(Assessment!G43="Ineffective", Assessment!G43="Partially Effective"),Assessment!D43,"")</f>
        <v/>
      </c>
      <c r="D43" s="1" t="str">
        <f>IF(OR(Assessment!G43="Ineffective", Assessment!G43="Partially Effective"),Assessment!E43,"")</f>
        <v/>
      </c>
      <c r="E43" t="str">
        <f>IF(C43='Working Sheet'!B44, 'Working Sheet'!D44, "")</f>
        <v/>
      </c>
      <c r="F43" t="str">
        <f>IF(C43='Working Sheet'!B44, 'Working Sheet'!E44, "")</f>
        <v/>
      </c>
      <c r="G43" t="str">
        <f>IF(C43='Working Sheet'!B44, 'Working Sheet'!F44, "")</f>
        <v/>
      </c>
    </row>
    <row r="44" spans="1:7" ht="16" x14ac:dyDescent="0.2">
      <c r="A44" t="str">
        <f t="shared" si="0"/>
        <v/>
      </c>
      <c r="B44" t="str">
        <f>IF(A44="","",SUM(A$3:$A44))</f>
        <v/>
      </c>
      <c r="C44" t="str">
        <f>IF(OR(Assessment!G44="Ineffective", Assessment!G44="Partially Effective"),Assessment!D44,"")</f>
        <v/>
      </c>
      <c r="D44" s="1" t="str">
        <f>IF(OR(Assessment!G44="Ineffective", Assessment!G44="Partially Effective"),Assessment!E44,"")</f>
        <v/>
      </c>
      <c r="E44" t="str">
        <f>IF(C44='Working Sheet'!B45, 'Working Sheet'!D45, "")</f>
        <v/>
      </c>
      <c r="F44" t="str">
        <f>IF(C44='Working Sheet'!B45, 'Working Sheet'!E45, "")</f>
        <v/>
      </c>
      <c r="G44" t="str">
        <f>IF(C44='Working Sheet'!B45, 'Working Sheet'!F45, "")</f>
        <v/>
      </c>
    </row>
    <row r="45" spans="1:7" ht="32" x14ac:dyDescent="0.2">
      <c r="A45">
        <f t="shared" si="0"/>
        <v>1</v>
      </c>
      <c r="B45">
        <f>IF(A45="","",SUM(A$3:$A45))</f>
        <v>16</v>
      </c>
      <c r="C45" t="str">
        <f>IF(OR(Assessment!G45="Ineffective", Assessment!G45="Partially Effective"),Assessment!D45,"")</f>
        <v>Testing</v>
      </c>
      <c r="D45" s="1" t="str">
        <f>IF(OR(Assessment!G45="Ineffective", Assessment!G45="Partially Effective"),Assessment!E45,"")</f>
        <v>Production data (including personal data) should not be used for testing purposes.</v>
      </c>
      <c r="E45" t="str">
        <f>IF(C45='Working Sheet'!B46, 'Working Sheet'!D46, "")</f>
        <v>Testing</v>
      </c>
      <c r="F45" t="str">
        <f>IF(C45='Working Sheet'!B46, 'Working Sheet'!E46, "")</f>
        <v xml:space="preserve">There is no process to ensure production data are not used for testing purposes. </v>
      </c>
      <c r="G45" t="str">
        <f>IF(C45='Working Sheet'!B46, 'Working Sheet'!F46, "")</f>
        <v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v>
      </c>
    </row>
    <row r="47" spans="1:7" x14ac:dyDescent="0.2">
      <c r="B47">
        <f>MAX(B1:B46)</f>
        <v>16</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07E31-AA58-46E1-9C83-04B6550D8441}">
  <sheetPr codeName="Sheet12"/>
  <dimension ref="A1:J244"/>
  <sheetViews>
    <sheetView showGridLines="0" view="pageLayout" topLeftCell="A184" zoomScale="70" zoomScaleNormal="60" zoomScalePageLayoutView="70" workbookViewId="0">
      <selection activeCell="I32" sqref="I32"/>
    </sheetView>
  </sheetViews>
  <sheetFormatPr baseColWidth="10" defaultColWidth="8.6640625" defaultRowHeight="15" x14ac:dyDescent="0.2"/>
  <cols>
    <col min="1" max="1" width="8.6640625" style="5"/>
    <col min="2" max="2" width="2.6640625" style="5" customWidth="1"/>
    <col min="3" max="3" width="2.33203125" style="5" customWidth="1"/>
    <col min="4" max="4" width="1.83203125" style="5" customWidth="1"/>
    <col min="5" max="5" width="4.1640625" style="5" hidden="1" customWidth="1"/>
    <col min="6" max="6" width="11" style="3" customWidth="1"/>
    <col min="7" max="7" width="26.5" style="4" customWidth="1"/>
    <col min="8" max="8" width="44" style="6" customWidth="1"/>
    <col min="9" max="9" width="77.5" style="6" customWidth="1"/>
    <col min="10" max="16384" width="8.6640625" style="5"/>
  </cols>
  <sheetData>
    <row r="1" spans="1:10" x14ac:dyDescent="0.2">
      <c r="A1" s="49" t="s">
        <v>388</v>
      </c>
    </row>
    <row r="2" spans="1:10" x14ac:dyDescent="0.2">
      <c r="A2" s="49" t="s">
        <v>388</v>
      </c>
    </row>
    <row r="3" spans="1:10" x14ac:dyDescent="0.2">
      <c r="A3" s="49" t="s">
        <v>388</v>
      </c>
    </row>
    <row r="4" spans="1:10" x14ac:dyDescent="0.2">
      <c r="A4" s="49" t="s">
        <v>388</v>
      </c>
    </row>
    <row r="5" spans="1:10" x14ac:dyDescent="0.2">
      <c r="A5" s="49" t="s">
        <v>388</v>
      </c>
    </row>
    <row r="6" spans="1:10" x14ac:dyDescent="0.2">
      <c r="A6" s="49" t="s">
        <v>388</v>
      </c>
    </row>
    <row r="7" spans="1:10" x14ac:dyDescent="0.2">
      <c r="A7" s="49" t="s">
        <v>388</v>
      </c>
    </row>
    <row r="8" spans="1:10" x14ac:dyDescent="0.2">
      <c r="A8" s="49" t="s">
        <v>388</v>
      </c>
    </row>
    <row r="9" spans="1:10" x14ac:dyDescent="0.2">
      <c r="A9" s="49" t="s">
        <v>388</v>
      </c>
    </row>
    <row r="10" spans="1:10" x14ac:dyDescent="0.2">
      <c r="A10" s="49" t="s">
        <v>388</v>
      </c>
    </row>
    <row r="11" spans="1:10" x14ac:dyDescent="0.2">
      <c r="A11" s="49" t="s">
        <v>388</v>
      </c>
      <c r="B11" s="71" t="s">
        <v>383</v>
      </c>
      <c r="C11" s="71"/>
      <c r="D11" s="71"/>
      <c r="E11" s="71"/>
      <c r="F11" s="71"/>
      <c r="G11" s="71"/>
      <c r="H11" s="71"/>
      <c r="I11" s="71"/>
      <c r="J11" s="71"/>
    </row>
    <row r="12" spans="1:10" x14ac:dyDescent="0.2">
      <c r="A12" s="49" t="s">
        <v>388</v>
      </c>
      <c r="B12" s="71"/>
      <c r="C12" s="71"/>
      <c r="D12" s="71"/>
      <c r="E12" s="71"/>
      <c r="F12" s="71"/>
      <c r="G12" s="71"/>
      <c r="H12" s="71"/>
      <c r="I12" s="71"/>
      <c r="J12" s="71"/>
    </row>
    <row r="13" spans="1:10" x14ac:dyDescent="0.2">
      <c r="A13" s="49" t="s">
        <v>388</v>
      </c>
      <c r="D13" s="3"/>
      <c r="E13" s="4"/>
      <c r="F13" s="6"/>
      <c r="G13" s="6"/>
      <c r="H13" s="5"/>
      <c r="I13" s="5"/>
    </row>
    <row r="14" spans="1:10" x14ac:dyDescent="0.2">
      <c r="A14" s="49" t="s">
        <v>388</v>
      </c>
    </row>
    <row r="15" spans="1:10" x14ac:dyDescent="0.2">
      <c r="A15" s="49" t="s">
        <v>388</v>
      </c>
    </row>
    <row r="16" spans="1:10" x14ac:dyDescent="0.2">
      <c r="A16" s="49" t="s">
        <v>388</v>
      </c>
    </row>
    <row r="17" spans="1:10" x14ac:dyDescent="0.2">
      <c r="A17" s="49" t="s">
        <v>388</v>
      </c>
    </row>
    <row r="18" spans="1:10" x14ac:dyDescent="0.2">
      <c r="A18" s="49" t="s">
        <v>388</v>
      </c>
      <c r="B18" s="72"/>
      <c r="C18" s="72"/>
      <c r="D18" s="72"/>
      <c r="E18" s="72"/>
      <c r="F18" s="72"/>
      <c r="G18" s="72"/>
      <c r="H18" s="72"/>
      <c r="I18" s="72"/>
      <c r="J18" s="72"/>
    </row>
    <row r="19" spans="1:10" x14ac:dyDescent="0.2">
      <c r="A19" s="49" t="s">
        <v>388</v>
      </c>
      <c r="B19" s="72"/>
      <c r="C19" s="72"/>
      <c r="D19" s="72"/>
      <c r="E19" s="72"/>
      <c r="F19" s="72"/>
      <c r="G19" s="72"/>
      <c r="H19" s="72"/>
      <c r="I19" s="72"/>
      <c r="J19" s="72"/>
    </row>
    <row r="20" spans="1:10" x14ac:dyDescent="0.2">
      <c r="A20" s="49" t="s">
        <v>388</v>
      </c>
    </row>
    <row r="21" spans="1:10" x14ac:dyDescent="0.2">
      <c r="A21" s="49" t="s">
        <v>388</v>
      </c>
    </row>
    <row r="22" spans="1:10" x14ac:dyDescent="0.2">
      <c r="A22" s="49" t="s">
        <v>388</v>
      </c>
    </row>
    <row r="23" spans="1:10" x14ac:dyDescent="0.2">
      <c r="A23" s="49" t="s">
        <v>388</v>
      </c>
    </row>
    <row r="24" spans="1:10" x14ac:dyDescent="0.2">
      <c r="A24" s="49" t="s">
        <v>388</v>
      </c>
    </row>
    <row r="25" spans="1:10" x14ac:dyDescent="0.2">
      <c r="A25" s="49" t="s">
        <v>388</v>
      </c>
    </row>
    <row r="26" spans="1:10" x14ac:dyDescent="0.2">
      <c r="A26" s="49" t="s">
        <v>388</v>
      </c>
    </row>
    <row r="27" spans="1:10" x14ac:dyDescent="0.2">
      <c r="A27" s="49" t="s">
        <v>388</v>
      </c>
    </row>
    <row r="28" spans="1:10" x14ac:dyDescent="0.2">
      <c r="A28" s="49" t="s">
        <v>388</v>
      </c>
    </row>
    <row r="29" spans="1:10" x14ac:dyDescent="0.2">
      <c r="A29" s="49" t="s">
        <v>388</v>
      </c>
    </row>
    <row r="30" spans="1:10" x14ac:dyDescent="0.2">
      <c r="A30" s="49" t="s">
        <v>388</v>
      </c>
    </row>
    <row r="31" spans="1:10" x14ac:dyDescent="0.2">
      <c r="A31" s="49" t="s">
        <v>388</v>
      </c>
    </row>
    <row r="32" spans="1:10" x14ac:dyDescent="0.2">
      <c r="A32" s="49" t="s">
        <v>388</v>
      </c>
    </row>
    <row r="33" spans="1:9" x14ac:dyDescent="0.2">
      <c r="A33" s="49" t="s">
        <v>388</v>
      </c>
    </row>
    <row r="34" spans="1:9" x14ac:dyDescent="0.2">
      <c r="A34" s="49" t="s">
        <v>388</v>
      </c>
    </row>
    <row r="35" spans="1:9" x14ac:dyDescent="0.2">
      <c r="A35" s="49" t="s">
        <v>388</v>
      </c>
    </row>
    <row r="36" spans="1:9" x14ac:dyDescent="0.2">
      <c r="A36" s="49" t="s">
        <v>388</v>
      </c>
    </row>
    <row r="37" spans="1:9" x14ac:dyDescent="0.2">
      <c r="A37" s="49" t="s">
        <v>388</v>
      </c>
    </row>
    <row r="38" spans="1:9" x14ac:dyDescent="0.2">
      <c r="A38" s="49" t="s">
        <v>388</v>
      </c>
    </row>
    <row r="39" spans="1:9" x14ac:dyDescent="0.2">
      <c r="A39" s="49" t="s">
        <v>388</v>
      </c>
    </row>
    <row r="40" spans="1:9" x14ac:dyDescent="0.2">
      <c r="A40" s="49" t="s">
        <v>388</v>
      </c>
    </row>
    <row r="41" spans="1:9" x14ac:dyDescent="0.2">
      <c r="A41" s="49" t="s">
        <v>388</v>
      </c>
    </row>
    <row r="42" spans="1:9" x14ac:dyDescent="0.2">
      <c r="A42" s="49" t="s">
        <v>388</v>
      </c>
    </row>
    <row r="43" spans="1:9" x14ac:dyDescent="0.2">
      <c r="A43" s="49" t="s">
        <v>388</v>
      </c>
    </row>
    <row r="44" spans="1:9" x14ac:dyDescent="0.2">
      <c r="A44" s="49" t="s">
        <v>388</v>
      </c>
    </row>
    <row r="45" spans="1:9" ht="16" x14ac:dyDescent="0.2">
      <c r="A45" s="49" t="s">
        <v>388</v>
      </c>
      <c r="I45" s="54" t="str">
        <f>'Initial Information Request'!D7</f>
        <v>Uber Technologies, Inc.</v>
      </c>
    </row>
    <row r="46" spans="1:9" x14ac:dyDescent="0.2">
      <c r="A46" s="49" t="s">
        <v>388</v>
      </c>
    </row>
    <row r="47" spans="1:9" x14ac:dyDescent="0.2">
      <c r="A47" s="49" t="s">
        <v>388</v>
      </c>
    </row>
    <row r="48" spans="1:9" x14ac:dyDescent="0.2">
      <c r="A48" s="49"/>
    </row>
    <row r="49" spans="1:1" x14ac:dyDescent="0.2">
      <c r="A49" s="49" t="s">
        <v>388</v>
      </c>
    </row>
    <row r="50" spans="1:1" x14ac:dyDescent="0.2">
      <c r="A50" s="49"/>
    </row>
    <row r="51" spans="1:1" x14ac:dyDescent="0.2">
      <c r="A51" s="49"/>
    </row>
    <row r="52" spans="1:1" x14ac:dyDescent="0.2">
      <c r="A52" s="49"/>
    </row>
    <row r="53" spans="1:1" x14ac:dyDescent="0.2">
      <c r="A53" s="49"/>
    </row>
    <row r="54" spans="1:1" x14ac:dyDescent="0.2">
      <c r="A54" s="49"/>
    </row>
    <row r="55" spans="1:1" x14ac:dyDescent="0.2">
      <c r="A55" s="49"/>
    </row>
    <row r="56" spans="1:1" x14ac:dyDescent="0.2">
      <c r="A56" s="49"/>
    </row>
    <row r="57" spans="1:1" x14ac:dyDescent="0.2">
      <c r="A57" s="49"/>
    </row>
    <row r="58" spans="1:1" x14ac:dyDescent="0.2">
      <c r="A58" s="49"/>
    </row>
    <row r="59" spans="1:1" x14ac:dyDescent="0.2">
      <c r="A59" s="49"/>
    </row>
    <row r="60" spans="1:1" x14ac:dyDescent="0.2">
      <c r="A60" s="49"/>
    </row>
    <row r="61" spans="1:1" x14ac:dyDescent="0.2">
      <c r="A61" s="49"/>
    </row>
    <row r="62" spans="1:1" x14ac:dyDescent="0.2">
      <c r="A62" s="49"/>
    </row>
    <row r="63" spans="1:1" x14ac:dyDescent="0.2">
      <c r="A63" s="49"/>
    </row>
    <row r="64" spans="1:1" x14ac:dyDescent="0.2">
      <c r="A64" s="49"/>
    </row>
    <row r="65" spans="1:1" x14ac:dyDescent="0.2">
      <c r="A65" s="49"/>
    </row>
    <row r="66" spans="1:1" x14ac:dyDescent="0.2">
      <c r="A66" s="49"/>
    </row>
    <row r="67" spans="1:1" x14ac:dyDescent="0.2">
      <c r="A67" s="49"/>
    </row>
    <row r="68" spans="1:1" x14ac:dyDescent="0.2">
      <c r="A68" s="49"/>
    </row>
    <row r="69" spans="1:1" x14ac:dyDescent="0.2">
      <c r="A69" s="49"/>
    </row>
    <row r="70" spans="1:1" x14ac:dyDescent="0.2">
      <c r="A70" s="49"/>
    </row>
    <row r="71" spans="1:1" x14ac:dyDescent="0.2">
      <c r="A71" s="49"/>
    </row>
    <row r="72" spans="1:1" x14ac:dyDescent="0.2">
      <c r="A72" s="49"/>
    </row>
    <row r="73" spans="1:1" x14ac:dyDescent="0.2">
      <c r="A73" s="49"/>
    </row>
    <row r="74" spans="1:1" x14ac:dyDescent="0.2">
      <c r="A74" s="49"/>
    </row>
    <row r="75" spans="1:1" x14ac:dyDescent="0.2">
      <c r="A75" s="49"/>
    </row>
    <row r="76" spans="1:1" x14ac:dyDescent="0.2">
      <c r="A76" s="49"/>
    </row>
    <row r="77" spans="1:1" x14ac:dyDescent="0.2">
      <c r="A77" s="49"/>
    </row>
    <row r="78" spans="1:1" x14ac:dyDescent="0.2">
      <c r="A78" s="49"/>
    </row>
    <row r="79" spans="1:1" x14ac:dyDescent="0.2">
      <c r="A79" s="49"/>
    </row>
    <row r="80" spans="1:1" x14ac:dyDescent="0.2">
      <c r="A80" s="49"/>
    </row>
    <row r="81" spans="1:1" x14ac:dyDescent="0.2">
      <c r="A81" s="49"/>
    </row>
    <row r="82" spans="1:1" x14ac:dyDescent="0.2">
      <c r="A82" s="49"/>
    </row>
    <row r="83" spans="1:1" x14ac:dyDescent="0.2">
      <c r="A83" s="49"/>
    </row>
    <row r="84" spans="1:1" x14ac:dyDescent="0.2">
      <c r="A84" s="49"/>
    </row>
    <row r="85" spans="1:1" x14ac:dyDescent="0.2">
      <c r="A85" s="49"/>
    </row>
    <row r="86" spans="1:1" x14ac:dyDescent="0.2">
      <c r="A86" s="49"/>
    </row>
    <row r="87" spans="1:1" x14ac:dyDescent="0.2">
      <c r="A87" s="49"/>
    </row>
    <row r="88" spans="1:1" x14ac:dyDescent="0.2">
      <c r="A88" s="49"/>
    </row>
    <row r="89" spans="1:1" x14ac:dyDescent="0.2">
      <c r="A89" s="49"/>
    </row>
    <row r="90" spans="1:1" x14ac:dyDescent="0.2">
      <c r="A90" s="49"/>
    </row>
    <row r="91" spans="1:1" x14ac:dyDescent="0.2">
      <c r="A91" s="49"/>
    </row>
    <row r="92" spans="1:1" x14ac:dyDescent="0.2">
      <c r="A92" s="49"/>
    </row>
    <row r="93" spans="1:1" x14ac:dyDescent="0.2">
      <c r="A93" s="49"/>
    </row>
    <row r="94" spans="1:1" x14ac:dyDescent="0.2">
      <c r="A94" s="49"/>
    </row>
    <row r="95" spans="1:1" x14ac:dyDescent="0.2">
      <c r="A95" s="49"/>
    </row>
    <row r="96" spans="1:1" x14ac:dyDescent="0.2">
      <c r="A96" s="49"/>
    </row>
    <row r="97" spans="1:10" x14ac:dyDescent="0.2">
      <c r="A97" s="49"/>
    </row>
    <row r="98" spans="1:10" x14ac:dyDescent="0.2">
      <c r="A98" s="49"/>
    </row>
    <row r="99" spans="1:10" x14ac:dyDescent="0.2">
      <c r="A99" s="49"/>
    </row>
    <row r="100" spans="1:10" x14ac:dyDescent="0.2">
      <c r="A100" s="49" t="s">
        <v>388</v>
      </c>
    </row>
    <row r="101" spans="1:10" x14ac:dyDescent="0.2">
      <c r="A101" s="49" t="s">
        <v>388</v>
      </c>
      <c r="F101" s="42"/>
      <c r="G101" s="42"/>
      <c r="H101" s="42"/>
      <c r="I101" s="42"/>
    </row>
    <row r="102" spans="1:10" ht="28" x14ac:dyDescent="0.2">
      <c r="A102" s="49" t="s">
        <v>388</v>
      </c>
      <c r="F102" s="73" t="s">
        <v>384</v>
      </c>
      <c r="G102" s="73"/>
      <c r="H102" s="73"/>
      <c r="I102" s="73"/>
      <c r="J102" s="53"/>
    </row>
    <row r="103" spans="1:10" ht="32" x14ac:dyDescent="0.2">
      <c r="A103" s="49" t="s">
        <v>388</v>
      </c>
      <c r="F103" s="74" t="s">
        <v>379</v>
      </c>
      <c r="G103" s="75"/>
      <c r="H103" s="76"/>
      <c r="I103" s="45" t="str">
        <f>IF('Initial Information Request'!D5=0,"",'Initial Information Request'!D5)</f>
        <v>Uber</v>
      </c>
      <c r="J103" s="54" t="s">
        <v>392</v>
      </c>
    </row>
    <row r="104" spans="1:10" ht="32" x14ac:dyDescent="0.2">
      <c r="A104" s="49" t="s">
        <v>388</v>
      </c>
      <c r="F104" s="74" t="s">
        <v>373</v>
      </c>
      <c r="G104" s="75"/>
      <c r="H104" s="76"/>
      <c r="I104" s="45" t="str">
        <f>IF('Initial Information Request'!D7=0,"",'Initial Information Request'!D7)</f>
        <v>Uber Technologies, Inc.</v>
      </c>
      <c r="J104" s="54" t="s">
        <v>392</v>
      </c>
    </row>
    <row r="105" spans="1:10" ht="38" x14ac:dyDescent="0.2">
      <c r="A105" s="49" t="s">
        <v>388</v>
      </c>
      <c r="F105" s="70" t="s">
        <v>371</v>
      </c>
      <c r="G105" s="70"/>
      <c r="H105" s="70"/>
      <c r="I105" s="45" t="str">
        <f>IF('Initial Information Request'!D9=0,"",'Initial Information Request'!D9)</f>
        <v>Ali Ranjbar (student), Almabrouk Ben-Omran (student), Mohammed Ashjar (student).</v>
      </c>
      <c r="J105" s="54" t="s">
        <v>392</v>
      </c>
    </row>
    <row r="106" spans="1:10" ht="32" x14ac:dyDescent="0.2">
      <c r="A106" s="49" t="s">
        <v>388</v>
      </c>
      <c r="F106" s="70" t="s">
        <v>372</v>
      </c>
      <c r="G106" s="70"/>
      <c r="H106" s="70"/>
      <c r="I106" s="46" t="str">
        <f>IF('Initial Information Request'!D11=0,"",'Initial Information Request'!D11)</f>
        <v>16/05/2024</v>
      </c>
      <c r="J106" s="54" t="s">
        <v>392</v>
      </c>
    </row>
    <row r="107" spans="1:10" ht="133" x14ac:dyDescent="0.2">
      <c r="A107" s="49" t="s">
        <v>388</v>
      </c>
      <c r="F107" s="70" t="s">
        <v>380</v>
      </c>
      <c r="G107" s="70"/>
      <c r="H107" s="70"/>
      <c r="I107" s="45" t="str">
        <f>IF('Initial Information Request'!D27=0,"",'Initial Information Request'!D27)</f>
        <v xml:space="preserve">Account Creation and Management, Location Tracking and Sharing, Ride History and Preferences, Payment Processing, Communication and Notifications, Identity Verification, Feedback and Ratings, Customer Support, Marketing and Promotions, Analytics and Performance Monitoring, Compliance and Legal Requirements, Accessibility and Special Needs                                                                                                                                                                                                 </v>
      </c>
      <c r="J107" s="54" t="s">
        <v>393</v>
      </c>
    </row>
    <row r="108" spans="1:10" ht="80" x14ac:dyDescent="0.2">
      <c r="A108" s="49" t="s">
        <v>388</v>
      </c>
      <c r="F108" s="70" t="s">
        <v>381</v>
      </c>
      <c r="G108" s="70"/>
      <c r="H108" s="70"/>
      <c r="I108" s="45" t="str">
        <f>IF('Initial Information Request'!D17=0,"",'Initial Information Request'!D17)</f>
        <v>Name, Phone number , Email, Location, Payment information (optional), Profile photo, Travel history, Device information, Audio recording (optional), Emergency Contacts (optional).</v>
      </c>
      <c r="J108" s="58" t="s">
        <v>393</v>
      </c>
    </row>
    <row r="109" spans="1:10" ht="171" x14ac:dyDescent="0.2">
      <c r="A109" s="49" t="s">
        <v>388</v>
      </c>
      <c r="F109" s="70" t="s">
        <v>368</v>
      </c>
      <c r="G109" s="70"/>
      <c r="H109" s="70"/>
      <c r="I109" s="47" t="str">
        <f>IF('Initial Information Request'!D23=0,"",'Initial Information Request'!D23)</f>
        <v>1- Upstream apps: Google Maps API, Apple Pay, Google Cloud Platform, Firebase Cloud Messaging, Mapbox, Stripe, PayPal, Google Pay, Onfido, Jumio, Amazon Web Services, OAuth, Firebase Authentication, Twilio.                                                                                                                                                                                                                                                                                                               2- Downstream apps: Uber Rider App, Uber Driver App, Uber’s Internal Analytics Tools, Google Analytics, Mixpanel, Amplitude, Zendesk, Salesforce Service Cloud, Braze, HubSpot, Uber Eats, Uber Freight, Jump Bikes, Government and Regulatory Reporting Tools, Audit Tools, Concur, TripActions.</v>
      </c>
      <c r="J109" s="58" t="s">
        <v>389</v>
      </c>
    </row>
    <row r="110" spans="1:10" ht="57" x14ac:dyDescent="0.2">
      <c r="A110" s="49" t="s">
        <v>388</v>
      </c>
      <c r="F110" s="70" t="s">
        <v>369</v>
      </c>
      <c r="G110" s="70"/>
      <c r="H110" s="70"/>
      <c r="I110" s="45" t="str">
        <f>IF('Initial Information Request'!D33=0,"",'Initial Information Request'!D33)</f>
        <v>Uber's application is hosted across multiple cloud providers like Google Cloud Platform (GCP) and Oracle Cloud Infrastructure (OCI)</v>
      </c>
      <c r="J110" s="54" t="s">
        <v>392</v>
      </c>
    </row>
    <row r="111" spans="1:10" ht="38" x14ac:dyDescent="0.2">
      <c r="A111" s="49" t="s">
        <v>388</v>
      </c>
      <c r="F111" s="70" t="s">
        <v>370</v>
      </c>
      <c r="G111" s="70"/>
      <c r="H111" s="70"/>
      <c r="I111" s="45" t="str">
        <f>IF('Initial Information Request'!D37=0,"",'Initial Information Request'!D37)</f>
        <v>Uber started with a monolithic architecture but has transitioned to a Domain-Oriented Microservice Architecture (DOMA)</v>
      </c>
      <c r="J111" s="54" t="s">
        <v>392</v>
      </c>
    </row>
    <row r="112" spans="1:10" ht="76" x14ac:dyDescent="0.2">
      <c r="A112" s="49" t="s">
        <v>388</v>
      </c>
      <c r="F112" s="70" t="s">
        <v>377</v>
      </c>
      <c r="G112" s="70"/>
      <c r="H112" s="70"/>
      <c r="I112" s="45" t="str">
        <f>IF('Initial Information Request'!D31=0,"",'Initial Information Request'!D31)</f>
        <v>Payment Processors, Mapping and Navigation Services, Third-party Service Providers, Government and Regulatory Authorities, Marketing and Advertising Partners, Business Partners and Affiliates, Acquirers or Mergers</v>
      </c>
      <c r="J112" s="54" t="s">
        <v>389</v>
      </c>
    </row>
    <row r="113" spans="1:1" x14ac:dyDescent="0.2">
      <c r="A113" s="49" t="s">
        <v>388</v>
      </c>
    </row>
    <row r="114" spans="1:1" x14ac:dyDescent="0.2">
      <c r="A114" s="49" t="s">
        <v>388</v>
      </c>
    </row>
    <row r="115" spans="1:1" x14ac:dyDescent="0.2">
      <c r="A115" s="49" t="s">
        <v>388</v>
      </c>
    </row>
    <row r="116" spans="1:1" x14ac:dyDescent="0.2">
      <c r="A116" s="49" t="s">
        <v>388</v>
      </c>
    </row>
    <row r="117" spans="1:1" x14ac:dyDescent="0.2">
      <c r="A117" s="49" t="s">
        <v>388</v>
      </c>
    </row>
    <row r="118" spans="1:1" x14ac:dyDescent="0.2">
      <c r="A118" s="49" t="s">
        <v>388</v>
      </c>
    </row>
    <row r="119" spans="1:1" x14ac:dyDescent="0.2">
      <c r="A119" s="49" t="s">
        <v>388</v>
      </c>
    </row>
    <row r="120" spans="1:1" x14ac:dyDescent="0.2">
      <c r="A120" s="49" t="s">
        <v>388</v>
      </c>
    </row>
    <row r="121" spans="1:1" x14ac:dyDescent="0.2">
      <c r="A121" s="49" t="s">
        <v>388</v>
      </c>
    </row>
    <row r="122" spans="1:1" x14ac:dyDescent="0.2">
      <c r="A122" s="49" t="s">
        <v>388</v>
      </c>
    </row>
    <row r="123" spans="1:1" x14ac:dyDescent="0.2">
      <c r="A123" s="49" t="s">
        <v>388</v>
      </c>
    </row>
    <row r="124" spans="1:1" x14ac:dyDescent="0.2">
      <c r="A124" s="49" t="s">
        <v>388</v>
      </c>
    </row>
    <row r="125" spans="1:1" x14ac:dyDescent="0.2">
      <c r="A125" s="49" t="s">
        <v>388</v>
      </c>
    </row>
    <row r="126" spans="1:1" x14ac:dyDescent="0.2">
      <c r="A126" s="49" t="s">
        <v>388</v>
      </c>
    </row>
    <row r="127" spans="1:1" x14ac:dyDescent="0.2">
      <c r="A127" s="49" t="s">
        <v>388</v>
      </c>
    </row>
    <row r="128" spans="1:1" x14ac:dyDescent="0.2">
      <c r="A128" s="49" t="s">
        <v>388</v>
      </c>
    </row>
    <row r="129" spans="1:9" s="39" customFormat="1" x14ac:dyDescent="0.2">
      <c r="A129" s="49" t="s">
        <v>388</v>
      </c>
      <c r="F129" s="42"/>
      <c r="G129" s="40"/>
      <c r="H129" s="41"/>
      <c r="I129" s="41"/>
    </row>
    <row r="130" spans="1:9" x14ac:dyDescent="0.2">
      <c r="A130" s="49" t="s">
        <v>388</v>
      </c>
    </row>
    <row r="131" spans="1:9" ht="28" x14ac:dyDescent="0.2">
      <c r="A131" s="49" t="s">
        <v>388</v>
      </c>
      <c r="F131" s="73" t="s">
        <v>385</v>
      </c>
      <c r="G131" s="73"/>
      <c r="H131" s="73"/>
      <c r="I131" s="73"/>
    </row>
    <row r="132" spans="1:9" x14ac:dyDescent="0.2">
      <c r="A132" s="49" t="s">
        <v>388</v>
      </c>
    </row>
    <row r="133" spans="1:9" ht="25" customHeight="1" x14ac:dyDescent="0.2">
      <c r="A133" s="49" t="s">
        <v>388</v>
      </c>
    </row>
    <row r="134" spans="1:9" ht="25" customHeight="1" x14ac:dyDescent="0.2">
      <c r="A134" s="49"/>
    </row>
    <row r="135" spans="1:9" ht="25" customHeight="1" x14ac:dyDescent="0.2">
      <c r="A135" s="49" t="s">
        <v>388</v>
      </c>
    </row>
    <row r="136" spans="1:9" ht="25" customHeight="1" x14ac:dyDescent="0.2">
      <c r="A136" s="49" t="s">
        <v>388</v>
      </c>
    </row>
    <row r="137" spans="1:9" ht="25" customHeight="1" x14ac:dyDescent="0.2">
      <c r="A137" s="49" t="s">
        <v>388</v>
      </c>
      <c r="F137" s="42"/>
    </row>
    <row r="138" spans="1:9" ht="25" customHeight="1" x14ac:dyDescent="0.2">
      <c r="A138" s="49" t="s">
        <v>388</v>
      </c>
      <c r="F138" s="42"/>
      <c r="G138" s="40"/>
      <c r="H138" s="41"/>
      <c r="I138" s="41"/>
    </row>
    <row r="139" spans="1:9" ht="25" customHeight="1" x14ac:dyDescent="0.2">
      <c r="A139" s="49" t="s">
        <v>388</v>
      </c>
      <c r="F139" s="42"/>
      <c r="G139" s="40"/>
      <c r="H139" s="41"/>
      <c r="I139" s="41"/>
    </row>
    <row r="140" spans="1:9" ht="25" customHeight="1" x14ac:dyDescent="0.2">
      <c r="A140" s="49" t="s">
        <v>388</v>
      </c>
      <c r="F140" s="42"/>
      <c r="G140" s="40"/>
      <c r="H140" s="41"/>
      <c r="I140" s="41"/>
    </row>
    <row r="141" spans="1:9" ht="25" customHeight="1" x14ac:dyDescent="0.2">
      <c r="A141" s="49" t="s">
        <v>388</v>
      </c>
      <c r="F141" s="42"/>
      <c r="G141" s="40"/>
      <c r="H141" s="41"/>
      <c r="I141" s="41"/>
    </row>
    <row r="142" spans="1:9" ht="25" customHeight="1" x14ac:dyDescent="0.2">
      <c r="A142" s="49" t="s">
        <v>388</v>
      </c>
      <c r="F142" s="42"/>
      <c r="G142" s="40"/>
      <c r="H142" s="41"/>
      <c r="I142" s="41"/>
    </row>
    <row r="143" spans="1:9" ht="25" customHeight="1" x14ac:dyDescent="0.2">
      <c r="A143" s="49" t="s">
        <v>388</v>
      </c>
      <c r="F143" s="42"/>
      <c r="G143" s="40"/>
      <c r="H143" s="41"/>
      <c r="I143" s="41"/>
    </row>
    <row r="144" spans="1:9" ht="25" customHeight="1" x14ac:dyDescent="0.2">
      <c r="A144" s="49" t="s">
        <v>388</v>
      </c>
      <c r="F144" s="42"/>
      <c r="G144" s="40"/>
      <c r="H144" s="41"/>
      <c r="I144" s="41"/>
    </row>
    <row r="145" spans="1:9" ht="25" customHeight="1" x14ac:dyDescent="0.2">
      <c r="A145" s="49" t="s">
        <v>388</v>
      </c>
      <c r="F145" s="42"/>
      <c r="G145" s="40"/>
      <c r="H145" s="41"/>
      <c r="I145" s="41"/>
    </row>
    <row r="146" spans="1:9" ht="25" customHeight="1" x14ac:dyDescent="0.2">
      <c r="A146" s="49" t="s">
        <v>388</v>
      </c>
      <c r="F146" s="42"/>
      <c r="G146" s="40"/>
      <c r="H146" s="41"/>
      <c r="I146" s="41"/>
    </row>
    <row r="147" spans="1:9" ht="25" customHeight="1" x14ac:dyDescent="0.2">
      <c r="A147" s="49" t="s">
        <v>388</v>
      </c>
      <c r="F147" s="42"/>
      <c r="G147" s="40"/>
      <c r="H147" s="41"/>
      <c r="I147" s="41"/>
    </row>
    <row r="148" spans="1:9" ht="25" customHeight="1" x14ac:dyDescent="0.2">
      <c r="A148" s="49" t="s">
        <v>388</v>
      </c>
      <c r="F148" s="42"/>
      <c r="G148" s="40"/>
      <c r="H148" s="41"/>
      <c r="I148" s="41"/>
    </row>
    <row r="149" spans="1:9" ht="25" customHeight="1" x14ac:dyDescent="0.2">
      <c r="A149" s="49" t="s">
        <v>388</v>
      </c>
      <c r="F149" s="42"/>
      <c r="G149" s="40"/>
      <c r="H149" s="41"/>
      <c r="I149" s="41"/>
    </row>
    <row r="150" spans="1:9" ht="25" customHeight="1" x14ac:dyDescent="0.2">
      <c r="A150" s="49" t="s">
        <v>388</v>
      </c>
      <c r="F150" s="42"/>
      <c r="G150" s="40"/>
      <c r="H150" s="41"/>
      <c r="I150" s="41"/>
    </row>
    <row r="151" spans="1:9" ht="25" customHeight="1" x14ac:dyDescent="0.2">
      <c r="A151" s="49" t="s">
        <v>388</v>
      </c>
      <c r="F151" s="42"/>
      <c r="G151" s="40"/>
      <c r="H151" s="41"/>
      <c r="I151" s="41"/>
    </row>
    <row r="152" spans="1:9" ht="25" customHeight="1" x14ac:dyDescent="0.2">
      <c r="A152" s="49" t="s">
        <v>388</v>
      </c>
    </row>
    <row r="153" spans="1:9" ht="25" customHeight="1" x14ac:dyDescent="0.2">
      <c r="A153" s="49" t="s">
        <v>388</v>
      </c>
    </row>
    <row r="154" spans="1:9" ht="25" customHeight="1" x14ac:dyDescent="0.2">
      <c r="A154" s="49" t="s">
        <v>388</v>
      </c>
    </row>
    <row r="155" spans="1:9" ht="25" customHeight="1" x14ac:dyDescent="0.2">
      <c r="A155" s="49" t="s">
        <v>388</v>
      </c>
    </row>
    <row r="156" spans="1:9" ht="25" customHeight="1" x14ac:dyDescent="0.2">
      <c r="A156" s="49" t="s">
        <v>388</v>
      </c>
    </row>
    <row r="157" spans="1:9" ht="25" customHeight="1" x14ac:dyDescent="0.2">
      <c r="A157" s="49" t="s">
        <v>388</v>
      </c>
    </row>
    <row r="158" spans="1:9" ht="25" customHeight="1" x14ac:dyDescent="0.2">
      <c r="A158" s="49" t="s">
        <v>388</v>
      </c>
      <c r="F158" s="42"/>
      <c r="G158" s="40"/>
      <c r="H158" s="41"/>
      <c r="I158" s="41"/>
    </row>
    <row r="159" spans="1:9" ht="25" customHeight="1" x14ac:dyDescent="0.2">
      <c r="A159" s="49" t="s">
        <v>388</v>
      </c>
      <c r="F159" s="42"/>
      <c r="G159" s="40"/>
      <c r="H159" s="41"/>
      <c r="I159" s="41"/>
    </row>
    <row r="160" spans="1:9" ht="25" customHeight="1" x14ac:dyDescent="0.2">
      <c r="A160" s="49" t="s">
        <v>388</v>
      </c>
      <c r="F160" s="42"/>
      <c r="G160" s="40"/>
      <c r="H160" s="41"/>
      <c r="I160" s="41"/>
    </row>
    <row r="161" spans="1:9" ht="25" customHeight="1" x14ac:dyDescent="0.2">
      <c r="A161" s="49" t="s">
        <v>388</v>
      </c>
    </row>
    <row r="162" spans="1:9" s="48" customFormat="1" ht="40" customHeight="1" x14ac:dyDescent="0.2">
      <c r="A162" s="49" t="s">
        <v>388</v>
      </c>
      <c r="F162" s="77" t="s">
        <v>206</v>
      </c>
      <c r="G162" s="77"/>
      <c r="H162" s="77"/>
      <c r="I162" s="77"/>
    </row>
    <row r="163" spans="1:9" s="51" customFormat="1" ht="32" customHeight="1" x14ac:dyDescent="0.25">
      <c r="A163" s="50" t="s">
        <v>388</v>
      </c>
      <c r="F163" s="61" t="s">
        <v>155</v>
      </c>
      <c r="G163" s="61" t="s">
        <v>240</v>
      </c>
      <c r="H163" s="61" t="s">
        <v>239</v>
      </c>
      <c r="I163" s="61" t="s">
        <v>118</v>
      </c>
    </row>
    <row r="164" spans="1:9" s="6" customFormat="1" ht="180" customHeight="1" x14ac:dyDescent="0.2">
      <c r="A164" s="49" t="s">
        <v>388</v>
      </c>
      <c r="E164" s="6">
        <v>1</v>
      </c>
      <c r="F164" s="62" t="str">
        <f>IF('Report-Testing'!E164=Calculations!E34,Calculations!F34,"")</f>
        <v>G_01</v>
      </c>
      <c r="G164" s="62" t="str">
        <f>VLOOKUP($E$164,Sheet4!$B:$G,4,FALSE)</f>
        <v>Privacy Notice - Contents</v>
      </c>
      <c r="H164" s="63" t="str">
        <f>_xlfn.IFNA(VLOOKUP(E164,Sheet4!$B:$G,5,FALSE),"")</f>
        <v xml:space="preserve">There is no process in place to ensure Privacy Notice adheres with the requirements of PDPPL. </v>
      </c>
      <c r="I164" s="63" t="str">
        <f>_xlfn.IFNA(VLOOKUP(E164,Sheet4!$B:$G,6,FALSE),"")</f>
        <v>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Update the Privacy Notice template based on review comments.
- Publish the Privacy Notice on the system/application. 
For further reference:
Privacy Notice - Guideline for Regulated Entities</v>
      </c>
    </row>
    <row r="165" spans="1:9" ht="163" customHeight="1" x14ac:dyDescent="0.2">
      <c r="A165" s="49" t="s">
        <v>388</v>
      </c>
      <c r="E165" s="5">
        <f>IF(E164&lt;Sheet4!$B$47,E164+1,"")</f>
        <v>2</v>
      </c>
      <c r="F165" s="62" t="str">
        <f>IF('Report-Testing'!E165=Calculations!E35,Calculations!F35,"")</f>
        <v>G_02</v>
      </c>
      <c r="G165" s="62" t="str">
        <f>VLOOKUP(E165,Sheet4!B:G,4,FALSE)</f>
        <v xml:space="preserve">Updated Privacy Notice </v>
      </c>
      <c r="H165" s="63" t="str">
        <f>_xlfn.IFNA(VLOOKUP(E165,Sheet4!$B:$G,5,FALSE),"")</f>
        <v xml:space="preserve">There is no process in place to notify the individuals on changes in personal data processing activities via an updated Privacy Notice. </v>
      </c>
      <c r="I165" s="63" t="str">
        <f>_xlfn.IFNA(VLOOKUP(E165,Sheet4!$B:$G,6,FALSE),"")</f>
        <v>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For further reference:
Privacy Notice - Guideline for Regulated Entities</v>
      </c>
    </row>
    <row r="166" spans="1:9" ht="248" customHeight="1" x14ac:dyDescent="0.2">
      <c r="A166" s="49" t="s">
        <v>388</v>
      </c>
      <c r="E166" s="5">
        <f>IF(E165&lt;Sheet4!$B$47,E165+1,"")</f>
        <v>3</v>
      </c>
      <c r="F166" s="62" t="str">
        <f>IF('Report-Testing'!E166=Calculations!E36,Calculations!F36,"")</f>
        <v>G_03</v>
      </c>
      <c r="G166" s="62" t="str">
        <f>VLOOKUP(E166,Sheet4!B:G,4,FALSE)</f>
        <v>Cookie Policy</v>
      </c>
      <c r="H166" s="63" t="str">
        <f>_xlfn.IFNA(VLOOKUP(E166,Sheet4!$B:$G,5,FALSE),"")</f>
        <v>There is no functionality in place to present the individuals with a Cookie Policy.</v>
      </c>
      <c r="I166" s="63" t="str">
        <f>_xlfn.IFNA(VLOOKUP(E166,Sheet4!$B:$G,6,FALSE),"")</f>
        <v>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Guidance on Cookie policy contents: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v>
      </c>
    </row>
    <row r="167" spans="1:9" ht="146" customHeight="1" x14ac:dyDescent="0.2">
      <c r="A167" s="49" t="s">
        <v>388</v>
      </c>
      <c r="E167" s="5">
        <f>IF(E166&lt;Sheet4!$B$47,E166+1,"")</f>
        <v>4</v>
      </c>
      <c r="F167" s="62" t="str">
        <f>IF('Report-Testing'!E167=Calculations!E37,Calculations!F37,"")</f>
        <v>G_04</v>
      </c>
      <c r="G167" s="62" t="str">
        <f>VLOOKUP(E167,Sheet4!B:G,4,FALSE)</f>
        <v>Records/Inventory</v>
      </c>
      <c r="H167" s="63" t="str">
        <f>_xlfn.IFNA(VLOOKUP(E167,Sheet4!$B:$G,5,FALSE),"")</f>
        <v xml:space="preserve">Personal data inventories are not developed for processing activities carried out using the system/application. </v>
      </c>
      <c r="I167" s="63" t="str">
        <f>_xlfn.IFNA(VLOOKUP(E167,Sheet4!$B:$G,6,FALSE),"")</f>
        <v>It is recommended to perform the following:
- Identify all processing activities carried out using the system/application.
- Develop a Record of all the identified processing activities by inventorizing all personal data attributes processed by the system.
- Review and update the Records of processing activity on a periodic basis. 
For further reference:
Record of Processing Activities - Guideline for Regulated Entities</v>
      </c>
    </row>
    <row r="168" spans="1:9" ht="214" customHeight="1" x14ac:dyDescent="0.2">
      <c r="A168" s="49" t="s">
        <v>388</v>
      </c>
      <c r="E168" s="5">
        <f>IF(E167&lt;Sheet4!$B$47,E167+1,"")</f>
        <v>5</v>
      </c>
      <c r="F168" s="62" t="str">
        <f>IF('Report-Testing'!E168=Calculations!E38,Calculations!F38,"")</f>
        <v>G_05</v>
      </c>
      <c r="G168" s="62" t="str">
        <f>VLOOKUP(E168,Sheet4!B:G,4,FALSE)</f>
        <v>Data Minimization</v>
      </c>
      <c r="H168" s="63" t="str">
        <f>_xlfn.IFNA(VLOOKUP(E168,Sheet4!$B:$G,5,FALSE),"")</f>
        <v xml:space="preserve">There is no process in place that limits the usage of personal data to what is adequate, relevant and necessary. </v>
      </c>
      <c r="I168" s="63" t="str">
        <f>_xlfn.IFNA(VLOOKUP(E168,Sheet4!$B:$G,6,FALSE),"")</f>
        <v>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For further reference: 
Principles of Data Privacy - Guideline for Regulated Entities</v>
      </c>
    </row>
    <row r="169" spans="1:9" ht="146" customHeight="1" x14ac:dyDescent="0.2">
      <c r="E169" s="5">
        <f>IF(E168&lt;Sheet4!$B$47,E168+1,"")</f>
        <v>6</v>
      </c>
      <c r="F169" s="62" t="str">
        <f>IF('Report-Testing'!E169=Calculations!E39,Calculations!F39,"")</f>
        <v>G_06</v>
      </c>
      <c r="G169" s="62" t="str">
        <f>VLOOKUP(E169,Sheet4!B:G,4,FALSE)</f>
        <v>Data Accuracy</v>
      </c>
      <c r="H169" s="63" t="str">
        <f>_xlfn.IFNA(VLOOKUP(E169,Sheet4!$B:$G,5,FALSE),"")</f>
        <v xml:space="preserve">There are no measures in place to ensure accuracy of personal data is maintained. </v>
      </c>
      <c r="I169" s="63" t="str">
        <f>_xlfn.IFNA(VLOOKUP(E169,Sheet4!$B:$G,6,FALSE),"")</f>
        <v>It is recommended to perform the following:
- Provide a functionality for the individuals to review and update their personal information.
- Send a periodic reminder to the individuals to review and update their personal data. 
For further reference: 
Principles of Data Privacy - Guideline for Regulated Entities</v>
      </c>
    </row>
    <row r="170" spans="1:9" ht="197" customHeight="1" x14ac:dyDescent="0.2">
      <c r="E170" s="5">
        <f>IF(E169&lt;Sheet4!$B$47,E169+1,"")</f>
        <v>7</v>
      </c>
      <c r="F170" s="62" t="str">
        <f>IF('Report-Testing'!E170=Calculations!E40,Calculations!F40,"")</f>
        <v>G_07</v>
      </c>
      <c r="G170" s="62" t="str">
        <f>VLOOKUP(E170,Sheet4!B:G,4,FALSE)</f>
        <v>Anonymization</v>
      </c>
      <c r="H170" s="63" t="str">
        <f>_xlfn.IFNA(VLOOKUP(E170,Sheet4!$B:$G,5,FALSE),"")</f>
        <v xml:space="preserve">Anonymization/de-identification is not performed. </v>
      </c>
      <c r="I170" s="63" t="str">
        <f>_xlfn.IFNA(VLOOKUP(E170,Sheet4!$B:$G,6,FALSE),"")</f>
        <v xml:space="preserve">It is recommended to perform the following:
- Privacy Office along with relevant stakeholders (eg. owners and users of Applications and Systems, BU Heads) should determine if there are any use cases for Anonymization/De-identification of personal data contained in the application/system.
- Upon identification of use cases, relevant technique for data anonymization (such as Data Masking, Generalization, Data swapping, Data perturbation, etc.) should be identified
- Perform data anonymization in accordance with technique identified.
- Perform periodic reviews to inspect if the anonymization technique is implemented adequately. </v>
      </c>
    </row>
    <row r="171" spans="1:9" ht="282" customHeight="1" x14ac:dyDescent="0.2">
      <c r="E171" s="5">
        <f>IF(E170&lt;Sheet4!$B$47,E170+1,"")</f>
        <v>8</v>
      </c>
      <c r="F171" s="62" t="str">
        <f>IF('Report-Testing'!E171=Calculations!E41,Calculations!F41,"")</f>
        <v>G_08</v>
      </c>
      <c r="G171" s="62" t="str">
        <f>VLOOKUP(E171,Sheet4!B:G,4,FALSE)</f>
        <v>Retention Policy Enforcement</v>
      </c>
      <c r="H171" s="63" t="str">
        <f>_xlfn.IFNA(VLOOKUP(E171,Sheet4!$B:$G,5,FALSE),"")</f>
        <v xml:space="preserve">Retention policy is not enforced on the system/application. </v>
      </c>
      <c r="I171" s="63" t="str">
        <f>_xlfn.IFNA(VLOOKUP(E171,Sheet4!$B:$G,6,FALSE),"")</f>
        <v>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For further reference: 
Principles of Data Privacy - Guideline for Regulated Entities</v>
      </c>
    </row>
    <row r="172" spans="1:9" ht="95" customHeight="1" x14ac:dyDescent="0.2">
      <c r="E172" s="5">
        <f>IF(E171&lt;Sheet4!$B$47,E171+1,"")</f>
        <v>9</v>
      </c>
      <c r="F172" s="62" t="str">
        <f>IF('Report-Testing'!E172=Calculations!E42,Calculations!F42,"")</f>
        <v>G_09</v>
      </c>
      <c r="G172" s="62" t="str">
        <f>VLOOKUP(E172,Sheet4!B:G,4,FALSE)</f>
        <v>Limit usage of Third Parties</v>
      </c>
      <c r="H172" s="63" t="str">
        <f>_xlfn.IFNA(VLOOKUP(E172,Sheet4!$B:$G,5,FALSE),"")</f>
        <v xml:space="preserve">There is no process to ensure personal data is disclosed to third parties only for carrying out personal data processing activities stated in the Privacy Notice. </v>
      </c>
      <c r="I172" s="63" t="str">
        <f>_xlfn.IFNA(VLOOKUP(E172,Sheet4!$B:$G,6,FALSE),"")</f>
        <v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v>
      </c>
    </row>
    <row r="173" spans="1:9" ht="180" customHeight="1" x14ac:dyDescent="0.2">
      <c r="E173" s="5">
        <f>IF(E172&lt;Sheet4!$B$47,E172+1,"")</f>
        <v>10</v>
      </c>
      <c r="F173" s="62" t="str">
        <f>IF('Report-Testing'!E173=Calculations!E43,Calculations!F43,"")</f>
        <v>G_10</v>
      </c>
      <c r="G173" s="62" t="str">
        <f>VLOOKUP(E173,Sheet4!B:G,4,FALSE)</f>
        <v>Limit disclosure of personal data attributes</v>
      </c>
      <c r="H173" s="63" t="str">
        <f>_xlfn.IFNA(VLOOKUP(E173,Sheet4!$B:$G,5,FALSE),"")</f>
        <v xml:space="preserve">There is no process to limit the disclosure of personal data attributes to what is necessary. </v>
      </c>
      <c r="I173" s="63" t="str">
        <f>_xlfn.IFNA(VLOOKUP(E173,Sheet4!$B:$G,6,FALSE),"")</f>
        <v xml:space="preserve">It is recommended to perform the following:
- Identify all personal data processing activities (using the system/application) carried out by the vendors and the purpose for carrying out the same.
- Identify the personal data attributes disclosed to the vendor for fulfilling the purpose for which they are carrying out personal data processing activities.
- Assess the necessity for disclosure of every single personal data attribute and identify redundant personal data disclosures.
- Restrict the disclosure to only those attributes that are necessary by removing all redundant personal data disclosures. </v>
      </c>
    </row>
    <row r="174" spans="1:9" ht="146" customHeight="1" x14ac:dyDescent="0.2">
      <c r="E174" s="5">
        <f>IF(E173&lt;Sheet4!$B$47,E173+1,"")</f>
        <v>11</v>
      </c>
      <c r="F174" s="62" t="str">
        <f>IF('Report-Testing'!E174=Calculations!E44,Calculations!F44,"")</f>
        <v>G_11</v>
      </c>
      <c r="G174" s="62" t="str">
        <f>VLOOKUP(E174,Sheet4!B:G,4,FALSE)</f>
        <v>Access controls</v>
      </c>
      <c r="H174" s="63" t="str">
        <f>_xlfn.IFNA(VLOOKUP(E174,Sheet4!$B:$G,5,FALSE),"")</f>
        <v>There is no process that restricts data access only to authorized personnel</v>
      </c>
      <c r="I174" s="63" t="str">
        <f>_xlfn.IFNA(VLOOKUP(E174,Sheet4!$B:$G,6,FALSE),"")</f>
        <v>It is recommended to perform the following:
-  Leverage RBAC principles to define roles and associated access privileges within the application and identify the different roles that require access to personal data. 
- Assign access permissions to each role based on their job responsibilities and the principle of least privilege.
- Implement robust user authentication mechanisms to verify the identity and authorization of users accessing the application.</v>
      </c>
    </row>
    <row r="175" spans="1:9" ht="197" customHeight="1" x14ac:dyDescent="0.2">
      <c r="E175" s="5">
        <f>IF(E174&lt;Sheet4!$B$47,E174+1,"")</f>
        <v>12</v>
      </c>
      <c r="F175" s="62" t="str">
        <f>IF('Report-Testing'!E175=Calculations!E45,Calculations!F45,"")</f>
        <v>G_12</v>
      </c>
      <c r="G175" s="62" t="str">
        <f>VLOOKUP(E175,Sheet4!B:G,4,FALSE)</f>
        <v>Audit Logging</v>
      </c>
      <c r="H175" s="63" t="str">
        <f>_xlfn.IFNA(VLOOKUP(E175,Sheet4!$B:$G,5,FALSE),"")</f>
        <v xml:space="preserve">Audit logging is not enabled on the system/application. </v>
      </c>
      <c r="I175" s="63" t="str">
        <f>_xlfn.IFNA(VLOOKUP(E175,Sheet4!$B:$G,6,FALSE),"")</f>
        <v xml:space="preserve">It is recommended to perform the following:
- Identify and finalize the specific activities and events that need to be logged such as user logins, data access, modifications, configuration changes, failed login attempts, and administrative actions.
- Design the logging system to capture relevant information (timestamp of the event, user ID, the IP address or device identifier, the action performed, etc.) about each logged event. 
- Securely store the logs (for a defined time period) to safeguard them from unauthorized access, tampering, or deletion. 
- Regularly review and analyze the audit logs to identify any suspicious activities and anomalies. </v>
      </c>
    </row>
    <row r="176" spans="1:9" ht="146" customHeight="1" x14ac:dyDescent="0.2">
      <c r="E176" s="5">
        <f>IF(E175&lt;Sheet4!$B$47,E175+1,"")</f>
        <v>13</v>
      </c>
      <c r="F176" s="62" t="str">
        <f>IF('Report-Testing'!E176=Calculations!E46,Calculations!F46,"")</f>
        <v>G_13</v>
      </c>
      <c r="G176" s="62" t="str">
        <f>VLOOKUP(E176,Sheet4!B:G,4,FALSE)</f>
        <v>Data Backups</v>
      </c>
      <c r="H176" s="63" t="str">
        <f>_xlfn.IFNA(VLOOKUP(E176,Sheet4!$B:$G,5,FALSE),"")</f>
        <v xml:space="preserve">Critical data residing on the system/application is not backed up. </v>
      </c>
      <c r="I176" s="63" t="str">
        <f>_xlfn.IFNA(VLOOKUP(E176,Sheet4!$B:$G,6,FALSE),"")</f>
        <v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v>
      </c>
    </row>
    <row r="177" spans="5:9" ht="146" customHeight="1" x14ac:dyDescent="0.2">
      <c r="E177" s="5">
        <f>IF(E176&lt;Sheet4!$B$47,E176+1,"")</f>
        <v>14</v>
      </c>
      <c r="F177" s="62" t="str">
        <f>IF('Report-Testing'!E177=Calculations!E47,Calculations!F47,"")</f>
        <v>G_14</v>
      </c>
      <c r="G177" s="62" t="str">
        <f>VLOOKUP(E177,Sheet4!B:G,4,FALSE)</f>
        <v>Idle Session Timeout</v>
      </c>
      <c r="H177" s="63" t="str">
        <f>_xlfn.IFNA(VLOOKUP(E177,Sheet4!$B:$G,5,FALSE),"")</f>
        <v xml:space="preserve">Sessions do not expire upon inactivity for a certain period of time. </v>
      </c>
      <c r="I177" s="63" t="str">
        <f>_xlfn.IFNA(VLOOKUP(E177,Sheet4!$B:$G,6,FALSE),"")</f>
        <v xml:space="preserve">It is recommended to perform the following:
- Define a session timeout policy for the system/application depending on its criticality (idle time session time out must be low for critical systems/applications and high for lesser critical systems/applications).
-  Implement a mechanism to track user activity and update the session status via running server side tracking or client side scripts. 
- Implement a mechanism to log out the user from the system/application in accordance with the session timeout policy. </v>
      </c>
    </row>
    <row r="178" spans="5:9" ht="129" customHeight="1" x14ac:dyDescent="0.2">
      <c r="E178" s="5">
        <f>IF(E177&lt;Sheet4!$B$47,E177+1,"")</f>
        <v>15</v>
      </c>
      <c r="F178" s="62" t="str">
        <f>IF('Report-Testing'!E178=Calculations!E48,Calculations!F48,"")</f>
        <v>G_15</v>
      </c>
      <c r="G178" s="62" t="str">
        <f>VLOOKUP(E178,Sheet4!B:G,4,FALSE)</f>
        <v>Patching</v>
      </c>
      <c r="H178" s="63" t="str">
        <f>_xlfn.IFNA(VLOOKUP(E178,Sheet4!$B:$G,5,FALSE),"")</f>
        <v xml:space="preserve">Critical vulnerabilities are not patched without undue delay. </v>
      </c>
      <c r="I178" s="63" t="str">
        <f>_xlfn.IFNA(VLOOKUP(E178,Sheet4!$B:$G,6,FALSE),"")</f>
        <v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v>
      </c>
    </row>
    <row r="179" spans="5:9" ht="95" customHeight="1" x14ac:dyDescent="0.2">
      <c r="E179" s="5">
        <f>IF(E178&lt;Sheet4!$B$47,E178+1,"")</f>
        <v>16</v>
      </c>
      <c r="F179" s="62" t="str">
        <f>IF('Report-Testing'!E179=Calculations!E49,Calculations!F49,"")</f>
        <v>G_16</v>
      </c>
      <c r="G179" s="62" t="str">
        <f>VLOOKUP(E179,Sheet4!B:G,4,FALSE)</f>
        <v>Testing</v>
      </c>
      <c r="H179" s="63" t="str">
        <f>_xlfn.IFNA(VLOOKUP(E179,Sheet4!$B:$G,5,FALSE),"")</f>
        <v xml:space="preserve">There is no process to ensure production data are not used for testing purposes. </v>
      </c>
      <c r="I179" s="63" t="str">
        <f>_xlfn.IFNA(VLOOKUP(E179,Sheet4!$B:$G,6,FALSE),"")</f>
        <v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v>
      </c>
    </row>
    <row r="180" spans="5:9" ht="27" customHeight="1" x14ac:dyDescent="0.2">
      <c r="E180" s="5" t="str">
        <f>IF(E179&lt;Sheet4!$B$47,E179+1,"")</f>
        <v/>
      </c>
      <c r="F180" s="62" t="str">
        <f>IF('Report-Testing'!E180=Calculations!E50,Calculations!F50,"")</f>
        <v/>
      </c>
      <c r="G180" s="62" t="str">
        <f>VLOOKUP(E180,Sheet4!B:G,4,FALSE)</f>
        <v/>
      </c>
      <c r="H180" s="63" t="str">
        <f>_xlfn.IFNA(VLOOKUP(E180,Sheet4!$B:$G,5,FALSE),"")</f>
        <v/>
      </c>
      <c r="I180" s="63" t="str">
        <f>_xlfn.IFNA(VLOOKUP(E180,Sheet4!$B:$G,6,FALSE),"")</f>
        <v/>
      </c>
    </row>
    <row r="181" spans="5:9" ht="27" customHeight="1" x14ac:dyDescent="0.2">
      <c r="E181" s="5" t="str">
        <f>IF(E180&lt;Sheet4!$B$47,E180+1,"")</f>
        <v/>
      </c>
      <c r="F181" s="62" t="str">
        <f>IF('Report-Testing'!E181=Calculations!E51,Calculations!F51,"")</f>
        <v/>
      </c>
      <c r="G181" s="62" t="str">
        <f>VLOOKUP(E181,Sheet4!B:G,4,FALSE)</f>
        <v/>
      </c>
      <c r="H181" s="63" t="str">
        <f>_xlfn.IFNA(VLOOKUP(E181,Sheet4!$B:$G,5,FALSE),"")</f>
        <v/>
      </c>
      <c r="I181" s="63" t="str">
        <f>_xlfn.IFNA(VLOOKUP(E181,Sheet4!$B:$G,6,FALSE),"")</f>
        <v/>
      </c>
    </row>
    <row r="182" spans="5:9" ht="27" customHeight="1" x14ac:dyDescent="0.2">
      <c r="E182" s="5" t="str">
        <f>IF(E181&lt;Sheet4!$B$47,E181+1,"")</f>
        <v/>
      </c>
      <c r="F182" s="62" t="str">
        <f>IF('Report-Testing'!E182=Calculations!E52,Calculations!F52,"")</f>
        <v/>
      </c>
      <c r="G182" s="62" t="str">
        <f>VLOOKUP(E182,Sheet4!B:G,4,FALSE)</f>
        <v/>
      </c>
      <c r="H182" s="63" t="str">
        <f>_xlfn.IFNA(VLOOKUP(E182,Sheet4!$B:$G,5,FALSE),"")</f>
        <v/>
      </c>
      <c r="I182" s="63" t="str">
        <f>_xlfn.IFNA(VLOOKUP(E182,Sheet4!$B:$G,6,FALSE),"")</f>
        <v/>
      </c>
    </row>
    <row r="183" spans="5:9" ht="27" customHeight="1" x14ac:dyDescent="0.2">
      <c r="E183" s="5" t="str">
        <f>IF(E182&lt;Sheet4!$B$47,E182+1,"")</f>
        <v/>
      </c>
      <c r="F183" s="62" t="str">
        <f>IF('Report-Testing'!E183=Calculations!E53,Calculations!F53,"")</f>
        <v/>
      </c>
      <c r="G183" s="62" t="str">
        <f>VLOOKUP(E183,Sheet4!B:G,4,FALSE)</f>
        <v/>
      </c>
      <c r="H183" s="63" t="str">
        <f>_xlfn.IFNA(VLOOKUP(E183,Sheet4!$B:$G,5,FALSE),"")</f>
        <v/>
      </c>
      <c r="I183" s="63" t="str">
        <f>_xlfn.IFNA(VLOOKUP(E183,Sheet4!$B:$G,6,FALSE),"")</f>
        <v/>
      </c>
    </row>
    <row r="184" spans="5:9" ht="27" customHeight="1" x14ac:dyDescent="0.2">
      <c r="E184" s="5" t="str">
        <f>IF(E183&lt;Sheet4!$B$47,E183+1,"")</f>
        <v/>
      </c>
      <c r="F184" s="62" t="str">
        <f>IF('Report-Testing'!E184=Calculations!E54,Calculations!F54,"")</f>
        <v/>
      </c>
      <c r="G184" s="62" t="str">
        <f>VLOOKUP(E184,Sheet4!B:G,4,FALSE)</f>
        <v/>
      </c>
      <c r="H184" s="63" t="str">
        <f>_xlfn.IFNA(VLOOKUP(E184,Sheet4!$B:$G,5,FALSE),"")</f>
        <v/>
      </c>
      <c r="I184" s="63" t="str">
        <f>_xlfn.IFNA(VLOOKUP(E184,Sheet4!$B:$G,6,FALSE),"")</f>
        <v/>
      </c>
    </row>
    <row r="185" spans="5:9" ht="27" customHeight="1" x14ac:dyDescent="0.2">
      <c r="E185" s="5" t="str">
        <f>IF(E184&lt;Sheet4!$B$47,E184+1,"")</f>
        <v/>
      </c>
      <c r="F185" s="62" t="str">
        <f>IF('Report-Testing'!E185=Calculations!E55,Calculations!F55,"")</f>
        <v/>
      </c>
      <c r="G185" s="62" t="str">
        <f>VLOOKUP(E185,Sheet4!B:G,4,FALSE)</f>
        <v/>
      </c>
      <c r="H185" s="63" t="str">
        <f>_xlfn.IFNA(VLOOKUP(E185,Sheet4!$B:$G,5,FALSE),"")</f>
        <v/>
      </c>
      <c r="I185" s="63" t="str">
        <f>_xlfn.IFNA(VLOOKUP(E185,Sheet4!$B:$G,6,FALSE),"")</f>
        <v/>
      </c>
    </row>
    <row r="186" spans="5:9" ht="27" customHeight="1" x14ac:dyDescent="0.2">
      <c r="E186" s="5" t="str">
        <f>IF(E185&lt;Sheet4!$B$47,E185+1,"")</f>
        <v/>
      </c>
      <c r="F186" s="62" t="str">
        <f>IF('Report-Testing'!E186=Calculations!E56,Calculations!F56,"")</f>
        <v/>
      </c>
      <c r="G186" s="62" t="str">
        <f>VLOOKUP(E186,Sheet4!B:G,4,FALSE)</f>
        <v/>
      </c>
      <c r="H186" s="63" t="str">
        <f>_xlfn.IFNA(VLOOKUP(E186,Sheet4!$B:$G,5,FALSE),"")</f>
        <v/>
      </c>
      <c r="I186" s="63" t="str">
        <f>_xlfn.IFNA(VLOOKUP(E186,Sheet4!$B:$G,6,FALSE),"")</f>
        <v/>
      </c>
    </row>
    <row r="187" spans="5:9" ht="27" customHeight="1" x14ac:dyDescent="0.2">
      <c r="E187" s="5" t="str">
        <f>IF(E186&lt;Sheet4!$B$47,E186+1,"")</f>
        <v/>
      </c>
      <c r="F187" s="62" t="str">
        <f>IF('Report-Testing'!E187=Calculations!E57,Calculations!F57,"")</f>
        <v/>
      </c>
      <c r="G187" s="62" t="str">
        <f>VLOOKUP(E187,Sheet4!B:G,4,FALSE)</f>
        <v/>
      </c>
      <c r="H187" s="63" t="str">
        <f>_xlfn.IFNA(VLOOKUP(E187,Sheet4!$B:$G,5,FALSE),"")</f>
        <v/>
      </c>
      <c r="I187" s="63" t="str">
        <f>_xlfn.IFNA(VLOOKUP(E187,Sheet4!$B:$G,6,FALSE),"")</f>
        <v/>
      </c>
    </row>
    <row r="188" spans="5:9" ht="27" customHeight="1" x14ac:dyDescent="0.2">
      <c r="E188" s="5" t="str">
        <f>IF(E187&lt;Sheet4!$B$47,E187+1,"")</f>
        <v/>
      </c>
      <c r="F188" s="62" t="str">
        <f>IF('Report-Testing'!E188=Calculations!E58,Calculations!F58,"")</f>
        <v/>
      </c>
      <c r="G188" s="62" t="str">
        <f>VLOOKUP(E188,Sheet4!B:G,4,FALSE)</f>
        <v/>
      </c>
      <c r="H188" s="63" t="str">
        <f>_xlfn.IFNA(VLOOKUP(E188,Sheet4!$B:$G,5,FALSE),"")</f>
        <v/>
      </c>
      <c r="I188" s="63" t="str">
        <f>_xlfn.IFNA(VLOOKUP(E188,Sheet4!$B:$G,6,FALSE),"")</f>
        <v/>
      </c>
    </row>
    <row r="189" spans="5:9" ht="27" customHeight="1" x14ac:dyDescent="0.2">
      <c r="E189" s="5" t="str">
        <f>IF(E188&lt;Sheet4!$B$47,E188+1,"")</f>
        <v/>
      </c>
      <c r="F189" s="62" t="str">
        <f>IF('Report-Testing'!E189=Calculations!E59,Calculations!F59,"")</f>
        <v/>
      </c>
      <c r="G189" s="62" t="str">
        <f>VLOOKUP(E189,Sheet4!B:G,4,FALSE)</f>
        <v/>
      </c>
      <c r="H189" s="63" t="str">
        <f>_xlfn.IFNA(VLOOKUP(E189,Sheet4!$B:$G,5,FALSE),"")</f>
        <v/>
      </c>
      <c r="I189" s="63" t="str">
        <f>_xlfn.IFNA(VLOOKUP(E189,Sheet4!$B:$G,6,FALSE),"")</f>
        <v/>
      </c>
    </row>
    <row r="190" spans="5:9" ht="27" customHeight="1" x14ac:dyDescent="0.2">
      <c r="E190" s="5" t="str">
        <f>IF(E189&lt;Sheet4!$B$47,E189+1,"")</f>
        <v/>
      </c>
      <c r="F190" s="62" t="str">
        <f>IF('Report-Testing'!E190=Calculations!E60,Calculations!F60,"")</f>
        <v/>
      </c>
      <c r="G190" s="62" t="str">
        <f>VLOOKUP(E190,Sheet4!B:G,4,FALSE)</f>
        <v/>
      </c>
      <c r="H190" s="63" t="str">
        <f>_xlfn.IFNA(VLOOKUP(E190,Sheet4!$B:$G,5,FALSE),"")</f>
        <v/>
      </c>
      <c r="I190" s="63" t="str">
        <f>_xlfn.IFNA(VLOOKUP(E190,Sheet4!$B:$G,6,FALSE),"")</f>
        <v/>
      </c>
    </row>
    <row r="191" spans="5:9" ht="27" customHeight="1" x14ac:dyDescent="0.2">
      <c r="E191" s="5" t="str">
        <f>IF(E190&lt;Sheet4!$B$47,E190+1,"")</f>
        <v/>
      </c>
      <c r="F191" s="62" t="str">
        <f>IF('Report-Testing'!E191=Calculations!E61,Calculations!F61,"")</f>
        <v/>
      </c>
      <c r="G191" s="62" t="str">
        <f>VLOOKUP(E191,Sheet4!B:G,4,FALSE)</f>
        <v/>
      </c>
      <c r="H191" s="63" t="str">
        <f>_xlfn.IFNA(VLOOKUP(E191,Sheet4!$B:$G,5,FALSE),"")</f>
        <v/>
      </c>
      <c r="I191" s="63" t="str">
        <f>_xlfn.IFNA(VLOOKUP(E191,Sheet4!$B:$G,6,FALSE),"")</f>
        <v/>
      </c>
    </row>
    <row r="192" spans="5:9" ht="27" customHeight="1" x14ac:dyDescent="0.2">
      <c r="E192" s="5" t="str">
        <f>IF(E191&lt;Sheet4!$B$47,E191+1,"")</f>
        <v/>
      </c>
      <c r="F192" s="62" t="str">
        <f>IF('Report-Testing'!E192=Calculations!E62,Calculations!F62,"")</f>
        <v/>
      </c>
      <c r="G192" s="62" t="str">
        <f>VLOOKUP(E192,Sheet4!B:G,4,FALSE)</f>
        <v/>
      </c>
      <c r="H192" s="63" t="str">
        <f>_xlfn.IFNA(VLOOKUP(E192,Sheet4!$B:$G,5,FALSE),"")</f>
        <v/>
      </c>
      <c r="I192" s="63" t="str">
        <f>_xlfn.IFNA(VLOOKUP(E192,Sheet4!$B:$G,6,FALSE),"")</f>
        <v/>
      </c>
    </row>
    <row r="193" spans="5:9" ht="27" customHeight="1" x14ac:dyDescent="0.2">
      <c r="E193" s="5" t="str">
        <f>IF(E192&lt;Sheet4!$B$47,E192+1,"")</f>
        <v/>
      </c>
      <c r="F193" s="62" t="str">
        <f>IF('Report-Testing'!E193=Calculations!E63,Calculations!F63,"")</f>
        <v/>
      </c>
      <c r="G193" s="62" t="str">
        <f>VLOOKUP(E193,Sheet4!B:G,4,FALSE)</f>
        <v/>
      </c>
      <c r="H193" s="63" t="str">
        <f>_xlfn.IFNA(VLOOKUP(E193,Sheet4!$B:$G,5,FALSE),"")</f>
        <v/>
      </c>
      <c r="I193" s="63" t="str">
        <f>_xlfn.IFNA(VLOOKUP(E193,Sheet4!$B:$G,6,FALSE),"")</f>
        <v/>
      </c>
    </row>
    <row r="194" spans="5:9" ht="27" customHeight="1" x14ac:dyDescent="0.2">
      <c r="E194" s="5" t="str">
        <f>IF(E193&lt;Sheet4!$B$47,E193+1,"")</f>
        <v/>
      </c>
      <c r="F194" s="62" t="str">
        <f>IF('Report-Testing'!E194=Calculations!E64,Calculations!F64,"")</f>
        <v/>
      </c>
      <c r="G194" s="62" t="str">
        <f>VLOOKUP(E194,Sheet4!B:G,4,FALSE)</f>
        <v/>
      </c>
      <c r="H194" s="63" t="str">
        <f>_xlfn.IFNA(VLOOKUP(E194,Sheet4!$B:$G,5,FALSE),"")</f>
        <v/>
      </c>
      <c r="I194" s="63" t="str">
        <f>_xlfn.IFNA(VLOOKUP(E194,Sheet4!$B:$G,6,FALSE),"")</f>
        <v/>
      </c>
    </row>
    <row r="195" spans="5:9" ht="27" customHeight="1" x14ac:dyDescent="0.2">
      <c r="E195" s="5" t="str">
        <f>IF(E194&lt;Sheet4!$B$47,E194+1,"")</f>
        <v/>
      </c>
      <c r="F195" s="62" t="str">
        <f>IF('Report-Testing'!E195=Calculations!E65,Calculations!F65,"")</f>
        <v/>
      </c>
      <c r="G195" s="62" t="str">
        <f>VLOOKUP(E195,Sheet4!B:G,4,FALSE)</f>
        <v/>
      </c>
      <c r="H195" s="63" t="str">
        <f>_xlfn.IFNA(VLOOKUP(E195,Sheet4!$B:$G,5,FALSE),"")</f>
        <v/>
      </c>
      <c r="I195" s="63" t="str">
        <f>_xlfn.IFNA(VLOOKUP(E195,Sheet4!$B:$G,6,FALSE),"")</f>
        <v/>
      </c>
    </row>
    <row r="196" spans="5:9" ht="27" customHeight="1" x14ac:dyDescent="0.2">
      <c r="E196" s="5" t="str">
        <f>IF(E195&lt;Sheet4!$B$47,E195+1,"")</f>
        <v/>
      </c>
      <c r="F196" s="62" t="str">
        <f>IF('Report-Testing'!E196=Calculations!E66,Calculations!F66,"")</f>
        <v/>
      </c>
      <c r="G196" s="62" t="str">
        <f>VLOOKUP(E196,Sheet4!B:G,4,FALSE)</f>
        <v/>
      </c>
      <c r="H196" s="63" t="str">
        <f>_xlfn.IFNA(VLOOKUP(E196,Sheet4!$B:$G,5,FALSE),"")</f>
        <v/>
      </c>
      <c r="I196" s="63" t="str">
        <f>_xlfn.IFNA(VLOOKUP(E196,Sheet4!$B:$G,6,FALSE),"")</f>
        <v/>
      </c>
    </row>
    <row r="197" spans="5:9" ht="27" customHeight="1" x14ac:dyDescent="0.2">
      <c r="E197" s="5" t="str">
        <f>IF(E196&lt;Sheet4!$B$47,E196+1,"")</f>
        <v/>
      </c>
      <c r="F197" s="62" t="str">
        <f>IF('Report-Testing'!E197=Calculations!E67,Calculations!F67,"")</f>
        <v/>
      </c>
      <c r="G197" s="62" t="str">
        <f>VLOOKUP(E197,Sheet4!B:G,4,FALSE)</f>
        <v/>
      </c>
      <c r="H197" s="63" t="str">
        <f>_xlfn.IFNA(VLOOKUP(E197,Sheet4!$B:$G,5,FALSE),"")</f>
        <v/>
      </c>
      <c r="I197" s="63" t="str">
        <f>_xlfn.IFNA(VLOOKUP(E197,Sheet4!$B:$G,6,FALSE),"")</f>
        <v/>
      </c>
    </row>
    <row r="198" spans="5:9" ht="27" customHeight="1" x14ac:dyDescent="0.2">
      <c r="E198" s="5" t="str">
        <f>IF(E197&lt;Sheet4!$B$47,E197+1,"")</f>
        <v/>
      </c>
      <c r="F198" s="62" t="str">
        <f>IF('Report-Testing'!E198=Calculations!E68,Calculations!F68,"")</f>
        <v/>
      </c>
      <c r="G198" s="62" t="str">
        <f>VLOOKUP(E198,Sheet4!B:G,4,FALSE)</f>
        <v/>
      </c>
      <c r="H198" s="63" t="str">
        <f>_xlfn.IFNA(VLOOKUP(E198,Sheet4!$B:$G,5,FALSE),"")</f>
        <v/>
      </c>
      <c r="I198" s="63" t="str">
        <f>_xlfn.IFNA(VLOOKUP(E198,Sheet4!$B:$G,6,FALSE),"")</f>
        <v/>
      </c>
    </row>
    <row r="199" spans="5:9" ht="27" customHeight="1" x14ac:dyDescent="0.2">
      <c r="E199" s="5" t="str">
        <f>IF(E198&lt;Sheet4!$B$47,E198+1,"")</f>
        <v/>
      </c>
      <c r="F199" s="62" t="str">
        <f>IF('Report-Testing'!E199=Calculations!E69,Calculations!F69,"")</f>
        <v/>
      </c>
      <c r="G199" s="62" t="str">
        <f>VLOOKUP(E199,Sheet4!B:G,4,FALSE)</f>
        <v/>
      </c>
      <c r="H199" s="63" t="str">
        <f>_xlfn.IFNA(VLOOKUP(E199,Sheet4!$B:$G,5,FALSE),"")</f>
        <v/>
      </c>
      <c r="I199" s="63" t="str">
        <f>_xlfn.IFNA(VLOOKUP(E199,Sheet4!$B:$G,6,FALSE),"")</f>
        <v/>
      </c>
    </row>
    <row r="200" spans="5:9" ht="27" customHeight="1" x14ac:dyDescent="0.2">
      <c r="E200" s="5" t="str">
        <f>IF(E199&lt;Sheet4!$B$47,E199+1,"")</f>
        <v/>
      </c>
      <c r="F200" s="62" t="str">
        <f>IF('Report-Testing'!E200=Calculations!E70,Calculations!F70,"")</f>
        <v/>
      </c>
      <c r="G200" s="62" t="str">
        <f>VLOOKUP(E200,Sheet4!B:G,4,FALSE)</f>
        <v/>
      </c>
      <c r="H200" s="63" t="str">
        <f>_xlfn.IFNA(VLOOKUP(E200,Sheet4!$B:$G,5,FALSE),"")</f>
        <v/>
      </c>
      <c r="I200" s="63" t="str">
        <f>_xlfn.IFNA(VLOOKUP(E200,Sheet4!$B:$G,6,FALSE),"")</f>
        <v/>
      </c>
    </row>
    <row r="201" spans="5:9" ht="27" customHeight="1" x14ac:dyDescent="0.2">
      <c r="E201" s="5" t="str">
        <f>IF(E200&lt;Sheet4!$B$47,E200+1,"")</f>
        <v/>
      </c>
      <c r="F201" s="62" t="str">
        <f>IF('Report-Testing'!E201=Calculations!E71,Calculations!F71,"")</f>
        <v/>
      </c>
      <c r="G201" s="62" t="str">
        <f>VLOOKUP(E201,Sheet4!B:G,4,FALSE)</f>
        <v/>
      </c>
      <c r="H201" s="63" t="str">
        <f>_xlfn.IFNA(VLOOKUP(E201,Sheet4!$B:$G,5,FALSE),"")</f>
        <v/>
      </c>
      <c r="I201" s="63" t="str">
        <f>_xlfn.IFNA(VLOOKUP(E201,Sheet4!$B:$G,6,FALSE),"")</f>
        <v/>
      </c>
    </row>
    <row r="202" spans="5:9" ht="27" customHeight="1" x14ac:dyDescent="0.2">
      <c r="E202" s="5" t="str">
        <f>IF(E201&lt;Sheet4!$B$47,E201+1,"")</f>
        <v/>
      </c>
      <c r="F202" s="62" t="str">
        <f>IF('Report-Testing'!E202=Calculations!E72,Calculations!F72,"")</f>
        <v/>
      </c>
      <c r="G202" s="62" t="str">
        <f>VLOOKUP(E202,Sheet4!B:G,4,FALSE)</f>
        <v/>
      </c>
      <c r="H202" s="63" t="str">
        <f>_xlfn.IFNA(VLOOKUP(E202,Sheet4!$B:$G,5,FALSE),"")</f>
        <v/>
      </c>
      <c r="I202" s="63" t="str">
        <f>_xlfn.IFNA(VLOOKUP(E202,Sheet4!$B:$G,6,FALSE),"")</f>
        <v/>
      </c>
    </row>
    <row r="203" spans="5:9" ht="27" customHeight="1" x14ac:dyDescent="0.2">
      <c r="E203" s="5" t="str">
        <f>IF(E202&lt;Sheet4!$B$47,E202+1,"")</f>
        <v/>
      </c>
      <c r="F203" s="62" t="str">
        <f>IF('Report-Testing'!E203=Calculations!E73,Calculations!F73,"")</f>
        <v/>
      </c>
      <c r="G203" s="62" t="str">
        <f>VLOOKUP(E203,Sheet4!B:G,4,FALSE)</f>
        <v/>
      </c>
      <c r="H203" s="63" t="str">
        <f>_xlfn.IFNA(VLOOKUP(E203,Sheet4!$B:$G,5,FALSE),"")</f>
        <v/>
      </c>
      <c r="I203" s="63" t="str">
        <f>_xlfn.IFNA(VLOOKUP(E203,Sheet4!$B:$G,6,FALSE),"")</f>
        <v/>
      </c>
    </row>
    <row r="204" spans="5:9" ht="27" customHeight="1" x14ac:dyDescent="0.2">
      <c r="E204" s="5" t="str">
        <f>IF(E203&lt;Sheet4!$B$47,E203+1,"")</f>
        <v/>
      </c>
      <c r="F204" s="62" t="str">
        <f>IF('Report-Testing'!E204=Calculations!E74,Calculations!F74,"")</f>
        <v/>
      </c>
      <c r="G204" s="62" t="str">
        <f>VLOOKUP(E204,Sheet4!B:G,4,FALSE)</f>
        <v/>
      </c>
      <c r="H204" s="63" t="str">
        <f>_xlfn.IFNA(VLOOKUP(E204,Sheet4!$B:$G,5,FALSE),"")</f>
        <v/>
      </c>
      <c r="I204" s="63" t="str">
        <f>_xlfn.IFNA(VLOOKUP(E204,Sheet4!$B:$G,6,FALSE),"")</f>
        <v/>
      </c>
    </row>
    <row r="205" spans="5:9" ht="27" customHeight="1" x14ac:dyDescent="0.2">
      <c r="E205" s="5" t="str">
        <f>IF(E204&lt;Sheet4!$B$47,E204+1,"")</f>
        <v/>
      </c>
      <c r="F205" s="62" t="str">
        <f>IF('Report-Testing'!E205=Calculations!E75,Calculations!F75,"")</f>
        <v/>
      </c>
      <c r="G205" s="62" t="str">
        <f>VLOOKUP(E205,Sheet4!B:G,4,FALSE)</f>
        <v/>
      </c>
      <c r="H205" s="63" t="str">
        <f>_xlfn.IFNA(VLOOKUP(E205,Sheet4!$B:$G,5,FALSE),"")</f>
        <v/>
      </c>
      <c r="I205" s="63" t="str">
        <f>_xlfn.IFNA(VLOOKUP(E205,Sheet4!$B:$G,6,FALSE),"")</f>
        <v/>
      </c>
    </row>
    <row r="206" spans="5:9" ht="27" customHeight="1" x14ac:dyDescent="0.2">
      <c r="E206" s="5" t="str">
        <f>IF(E205&lt;Sheet4!$B$47,E205+1,"")</f>
        <v/>
      </c>
      <c r="F206" s="62" t="str">
        <f>IF('Report-Testing'!E206=Calculations!E76,Calculations!F76,"")</f>
        <v/>
      </c>
      <c r="G206" s="62" t="str">
        <f>VLOOKUP(E206,Sheet4!B:G,4,FALSE)</f>
        <v/>
      </c>
      <c r="H206" s="63" t="str">
        <f>_xlfn.IFNA(VLOOKUP(E206,Sheet4!$B:$G,5,FALSE),"")</f>
        <v/>
      </c>
      <c r="I206" s="63" t="str">
        <f>_xlfn.IFNA(VLOOKUP(E206,Sheet4!$B:$G,6,FALSE),"")</f>
        <v/>
      </c>
    </row>
    <row r="207" spans="5:9" ht="27" customHeight="1" x14ac:dyDescent="0.2">
      <c r="F207" s="62" t="str">
        <f>IF('Report-Testing'!E207=Calculations!E77,Calculations!F77,"")</f>
        <v/>
      </c>
      <c r="G207" s="62"/>
      <c r="H207" s="63"/>
      <c r="I207" s="63"/>
    </row>
    <row r="208" spans="5:9" x14ac:dyDescent="0.2">
      <c r="F208" s="4"/>
    </row>
    <row r="209" spans="1:10" x14ac:dyDescent="0.2">
      <c r="F209" s="4"/>
    </row>
    <row r="210" spans="1:10" x14ac:dyDescent="0.2">
      <c r="F210" s="4"/>
    </row>
    <row r="211" spans="1:10" x14ac:dyDescent="0.2">
      <c r="F211" s="4"/>
    </row>
    <row r="212" spans="1:10" x14ac:dyDescent="0.2">
      <c r="F212" s="4"/>
    </row>
    <row r="213" spans="1:10" x14ac:dyDescent="0.2">
      <c r="F213" s="4"/>
    </row>
    <row r="214" spans="1:10" x14ac:dyDescent="0.2">
      <c r="F214" s="4"/>
    </row>
    <row r="215" spans="1:10" x14ac:dyDescent="0.2">
      <c r="F215" s="4"/>
    </row>
    <row r="216" spans="1:10" x14ac:dyDescent="0.2">
      <c r="F216" s="4"/>
    </row>
    <row r="217" spans="1:10" x14ac:dyDescent="0.2">
      <c r="F217" s="4"/>
    </row>
    <row r="218" spans="1:10" x14ac:dyDescent="0.2">
      <c r="F218" s="4"/>
    </row>
    <row r="219" spans="1:10" x14ac:dyDescent="0.2">
      <c r="F219" s="4"/>
    </row>
    <row r="220" spans="1:10" x14ac:dyDescent="0.2">
      <c r="F220" s="4"/>
    </row>
    <row r="221" spans="1:10" s="4" customFormat="1" x14ac:dyDescent="0.2">
      <c r="A221" s="5"/>
      <c r="B221" s="5"/>
      <c r="C221" s="5"/>
      <c r="D221" s="5"/>
      <c r="E221" s="5"/>
      <c r="H221" s="6"/>
      <c r="I221" s="6"/>
      <c r="J221" s="5"/>
    </row>
    <row r="222" spans="1:10" s="4" customFormat="1" x14ac:dyDescent="0.2">
      <c r="A222" s="5"/>
      <c r="B222" s="5"/>
      <c r="C222" s="5"/>
      <c r="D222" s="5"/>
      <c r="E222" s="5"/>
      <c r="H222" s="6"/>
      <c r="I222" s="6"/>
      <c r="J222" s="5"/>
    </row>
    <row r="223" spans="1:10" s="4" customFormat="1" x14ac:dyDescent="0.2">
      <c r="A223" s="5"/>
      <c r="B223" s="5"/>
      <c r="C223" s="5"/>
      <c r="D223" s="5"/>
      <c r="E223" s="5"/>
      <c r="H223" s="6"/>
      <c r="I223" s="6"/>
      <c r="J223" s="5"/>
    </row>
    <row r="224" spans="1:10" s="4" customFormat="1" x14ac:dyDescent="0.2">
      <c r="A224" s="5"/>
      <c r="B224" s="5"/>
      <c r="C224" s="5"/>
      <c r="D224" s="5"/>
      <c r="E224" s="5"/>
      <c r="H224" s="6"/>
      <c r="I224" s="6"/>
      <c r="J224" s="5"/>
    </row>
    <row r="225" spans="1:10" s="4" customFormat="1" x14ac:dyDescent="0.2">
      <c r="A225" s="5"/>
      <c r="B225" s="5"/>
      <c r="C225" s="5"/>
      <c r="D225" s="5"/>
      <c r="E225" s="5"/>
      <c r="H225" s="6"/>
      <c r="I225" s="6"/>
      <c r="J225" s="5"/>
    </row>
    <row r="226" spans="1:10" s="4" customFormat="1" x14ac:dyDescent="0.2">
      <c r="A226" s="5"/>
      <c r="B226" s="5"/>
      <c r="C226" s="5"/>
      <c r="D226" s="5"/>
      <c r="E226" s="5"/>
      <c r="H226" s="6"/>
      <c r="I226" s="6"/>
      <c r="J226" s="5"/>
    </row>
    <row r="227" spans="1:10" s="4" customFormat="1" x14ac:dyDescent="0.2">
      <c r="A227" s="5"/>
      <c r="B227" s="5"/>
      <c r="C227" s="5"/>
      <c r="D227" s="5"/>
      <c r="E227" s="5"/>
      <c r="H227" s="6"/>
      <c r="I227" s="6"/>
      <c r="J227" s="5"/>
    </row>
    <row r="228" spans="1:10" s="4" customFormat="1" x14ac:dyDescent="0.2">
      <c r="A228" s="5"/>
      <c r="B228" s="5"/>
      <c r="C228" s="5"/>
      <c r="D228" s="5"/>
      <c r="E228" s="5"/>
      <c r="H228" s="6"/>
      <c r="I228" s="6"/>
      <c r="J228" s="5"/>
    </row>
    <row r="229" spans="1:10" s="4" customFormat="1" x14ac:dyDescent="0.2">
      <c r="A229" s="5"/>
      <c r="B229" s="5"/>
      <c r="C229" s="5"/>
      <c r="D229" s="5"/>
      <c r="E229" s="5"/>
      <c r="H229" s="6"/>
      <c r="I229" s="6"/>
      <c r="J229" s="5"/>
    </row>
    <row r="230" spans="1:10" s="4" customFormat="1" x14ac:dyDescent="0.2">
      <c r="A230" s="5"/>
      <c r="B230" s="5"/>
      <c r="C230" s="5"/>
      <c r="D230" s="5"/>
      <c r="E230" s="5"/>
      <c r="H230" s="6"/>
      <c r="I230" s="6"/>
      <c r="J230" s="5"/>
    </row>
    <row r="231" spans="1:10" s="4" customFormat="1" x14ac:dyDescent="0.2">
      <c r="A231" s="5"/>
      <c r="B231" s="5"/>
      <c r="C231" s="5"/>
      <c r="D231" s="5"/>
      <c r="E231" s="5"/>
      <c r="H231" s="6"/>
      <c r="I231" s="6"/>
      <c r="J231" s="5"/>
    </row>
    <row r="232" spans="1:10" s="4" customFormat="1" x14ac:dyDescent="0.2">
      <c r="A232" s="5"/>
      <c r="B232" s="5"/>
      <c r="C232" s="5"/>
      <c r="D232" s="5"/>
      <c r="E232" s="5"/>
      <c r="H232" s="6"/>
      <c r="I232" s="6"/>
      <c r="J232" s="5"/>
    </row>
    <row r="233" spans="1:10" s="4" customFormat="1" x14ac:dyDescent="0.2">
      <c r="A233" s="5"/>
      <c r="B233" s="5"/>
      <c r="C233" s="5"/>
      <c r="D233" s="5"/>
      <c r="E233" s="5"/>
      <c r="H233" s="6"/>
      <c r="I233" s="6"/>
      <c r="J233" s="5"/>
    </row>
    <row r="234" spans="1:10" s="4" customFormat="1" x14ac:dyDescent="0.2">
      <c r="A234" s="5"/>
      <c r="B234" s="5"/>
      <c r="C234" s="5"/>
      <c r="D234" s="5"/>
      <c r="E234" s="5"/>
      <c r="H234" s="6"/>
      <c r="I234" s="6"/>
      <c r="J234" s="5"/>
    </row>
    <row r="235" spans="1:10" s="4" customFormat="1" x14ac:dyDescent="0.2">
      <c r="A235" s="5"/>
      <c r="B235" s="5"/>
      <c r="C235" s="5"/>
      <c r="D235" s="5"/>
      <c r="E235" s="5"/>
      <c r="H235" s="6"/>
      <c r="I235" s="6"/>
      <c r="J235" s="5"/>
    </row>
    <row r="236" spans="1:10" s="4" customFormat="1" x14ac:dyDescent="0.2">
      <c r="A236" s="5"/>
      <c r="B236" s="5"/>
      <c r="C236" s="5"/>
      <c r="D236" s="5"/>
      <c r="E236" s="5"/>
      <c r="H236" s="6"/>
      <c r="I236" s="6"/>
      <c r="J236" s="5"/>
    </row>
    <row r="237" spans="1:10" s="4" customFormat="1" x14ac:dyDescent="0.2">
      <c r="A237" s="5"/>
      <c r="B237" s="5"/>
      <c r="C237" s="5"/>
      <c r="D237" s="5"/>
      <c r="E237" s="5"/>
      <c r="H237" s="6"/>
      <c r="I237" s="6"/>
      <c r="J237" s="5"/>
    </row>
    <row r="238" spans="1:10" s="4" customFormat="1" x14ac:dyDescent="0.2">
      <c r="A238" s="5"/>
      <c r="B238" s="5"/>
      <c r="C238" s="5"/>
      <c r="D238" s="5"/>
      <c r="E238" s="5"/>
      <c r="H238" s="6"/>
      <c r="I238" s="6"/>
      <c r="J238" s="5"/>
    </row>
    <row r="239" spans="1:10" s="4" customFormat="1" x14ac:dyDescent="0.2">
      <c r="A239" s="5"/>
      <c r="B239" s="5"/>
      <c r="C239" s="5"/>
      <c r="D239" s="5"/>
      <c r="E239" s="5"/>
      <c r="H239" s="6"/>
      <c r="I239" s="6"/>
      <c r="J239" s="5"/>
    </row>
    <row r="240" spans="1:10" s="4" customFormat="1" x14ac:dyDescent="0.2">
      <c r="A240" s="5"/>
      <c r="B240" s="5"/>
      <c r="C240" s="5"/>
      <c r="D240" s="5"/>
      <c r="E240" s="5"/>
      <c r="H240" s="6"/>
      <c r="I240" s="6"/>
      <c r="J240" s="5"/>
    </row>
    <row r="241" spans="1:10" s="4" customFormat="1" x14ac:dyDescent="0.2">
      <c r="A241" s="5"/>
      <c r="B241" s="5"/>
      <c r="C241" s="5"/>
      <c r="D241" s="5"/>
      <c r="E241" s="5"/>
      <c r="H241" s="6"/>
      <c r="I241" s="6"/>
      <c r="J241" s="5"/>
    </row>
    <row r="242" spans="1:10" s="4" customFormat="1" x14ac:dyDescent="0.2">
      <c r="A242" s="5"/>
      <c r="B242" s="5"/>
      <c r="C242" s="5"/>
      <c r="D242" s="5"/>
      <c r="E242" s="5"/>
      <c r="H242" s="6"/>
      <c r="I242" s="6"/>
      <c r="J242" s="5"/>
    </row>
    <row r="243" spans="1:10" s="4" customFormat="1" x14ac:dyDescent="0.2">
      <c r="A243" s="5"/>
      <c r="B243" s="5"/>
      <c r="C243" s="5"/>
      <c r="D243" s="5"/>
      <c r="E243" s="5"/>
      <c r="H243" s="6"/>
      <c r="I243" s="6"/>
      <c r="J243" s="5"/>
    </row>
    <row r="244" spans="1:10" s="4" customFormat="1" x14ac:dyDescent="0.2">
      <c r="A244" s="5"/>
      <c r="B244" s="5"/>
      <c r="C244" s="5"/>
      <c r="D244" s="5"/>
      <c r="E244" s="5"/>
      <c r="H244" s="6"/>
      <c r="I244" s="6"/>
      <c r="J244" s="5"/>
    </row>
  </sheetData>
  <sheetProtection formatCells="0" formatColumns="0" formatRows="0"/>
  <mergeCells count="15">
    <mergeCell ref="F112:H112"/>
    <mergeCell ref="F131:I131"/>
    <mergeCell ref="F162:I162"/>
    <mergeCell ref="F106:H106"/>
    <mergeCell ref="F107:H107"/>
    <mergeCell ref="F108:H108"/>
    <mergeCell ref="F109:H109"/>
    <mergeCell ref="F110:H110"/>
    <mergeCell ref="F111:H111"/>
    <mergeCell ref="F105:H105"/>
    <mergeCell ref="B11:J12"/>
    <mergeCell ref="B18:J19"/>
    <mergeCell ref="F102:I102"/>
    <mergeCell ref="F103:H103"/>
    <mergeCell ref="F104:H104"/>
  </mergeCells>
  <conditionalFormatting sqref="F164:I1048576">
    <cfRule type="notContainsBlanks" dxfId="4" priority="1">
      <formula>LEN(TRIM(F164))&gt;0</formula>
    </cfRule>
  </conditionalFormatting>
  <pageMargins left="0.7" right="0.7" top="0.75" bottom="0.75" header="0.3" footer="0.3"/>
  <pageSetup paperSize="8" orientation="landscape" r:id="rId1"/>
  <headerFooter>
    <oddHeader>&amp;L
&amp;CCompany Name: Uber Technologies, Inc.</oddHeader>
    <oddFooter>&amp;R&amp;"CenturyGothic"Date of Report Generation: 01-Jun-2024&amp;C&amp;"CenturyGothic"Page &amp;P of &amp;N&amp;L&amp;"CenturyGothic"Privacy by Design Assessment Report</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2EF6-8E45-45C5-80F8-6B8CC329A5A0}">
  <sheetPr codeName="Sheet2"/>
  <dimension ref="A1:P36"/>
  <sheetViews>
    <sheetView view="pageLayout" zoomScale="70" zoomScaleNormal="100" zoomScalePageLayoutView="70" workbookViewId="0">
      <selection activeCell="K10" sqref="K10"/>
    </sheetView>
  </sheetViews>
  <sheetFormatPr baseColWidth="10" defaultColWidth="8.83203125" defaultRowHeight="15" x14ac:dyDescent="0.2"/>
  <cols>
    <col min="1" max="1" width="23.6640625" customWidth="1"/>
  </cols>
  <sheetData>
    <row r="1" spans="1:16" s="5" customFormat="1" ht="15" customHeight="1" x14ac:dyDescent="0.2">
      <c r="A1" s="52"/>
      <c r="B1" s="49"/>
      <c r="C1" s="49"/>
      <c r="D1" s="49"/>
      <c r="E1" s="49"/>
      <c r="F1" s="49"/>
      <c r="G1" s="49"/>
      <c r="H1" s="49"/>
      <c r="I1" s="49"/>
      <c r="J1" s="49"/>
      <c r="K1" s="49"/>
      <c r="L1" s="49"/>
      <c r="M1" s="49"/>
      <c r="N1" s="49"/>
      <c r="O1" s="49"/>
      <c r="P1" s="49"/>
    </row>
    <row r="2" spans="1:16" s="5" customFormat="1" x14ac:dyDescent="0.2">
      <c r="A2" s="49"/>
      <c r="B2" s="49"/>
      <c r="C2" s="49"/>
      <c r="D2" s="49"/>
      <c r="E2" s="49"/>
      <c r="F2" s="49"/>
      <c r="G2" s="49"/>
      <c r="H2" s="49"/>
      <c r="I2" s="49"/>
      <c r="J2" s="49"/>
      <c r="K2" s="49"/>
      <c r="L2" s="49"/>
      <c r="M2" s="49"/>
      <c r="N2" s="49"/>
      <c r="O2" s="49"/>
      <c r="P2" s="49"/>
    </row>
    <row r="3" spans="1:16" s="5" customFormat="1" x14ac:dyDescent="0.2">
      <c r="A3" s="49"/>
      <c r="B3" s="49"/>
      <c r="C3" s="49"/>
      <c r="D3" s="49"/>
      <c r="E3" s="49"/>
      <c r="F3" s="49"/>
      <c r="G3" s="49"/>
      <c r="H3" s="49"/>
      <c r="I3" s="49"/>
      <c r="J3" s="49"/>
      <c r="K3" s="49"/>
      <c r="L3" s="49"/>
      <c r="M3" s="49"/>
      <c r="N3" s="49"/>
      <c r="O3" s="49"/>
      <c r="P3" s="49"/>
    </row>
    <row r="4" spans="1:16" s="5" customFormat="1" x14ac:dyDescent="0.2">
      <c r="A4" s="49"/>
      <c r="B4" s="49"/>
      <c r="C4" s="49"/>
      <c r="D4" s="49"/>
      <c r="E4" s="49"/>
      <c r="F4" s="49"/>
      <c r="G4" s="49"/>
      <c r="H4" s="49"/>
      <c r="I4" s="49"/>
      <c r="J4" s="49"/>
      <c r="K4" s="49"/>
      <c r="L4" s="49"/>
      <c r="M4" s="49"/>
      <c r="N4" s="49"/>
      <c r="O4" s="49"/>
      <c r="P4" s="49"/>
    </row>
    <row r="5" spans="1:16" s="5" customFormat="1" x14ac:dyDescent="0.2">
      <c r="A5" s="49"/>
      <c r="B5" s="49"/>
      <c r="C5" s="49"/>
      <c r="D5" s="49"/>
      <c r="E5" s="49"/>
      <c r="F5" s="49"/>
      <c r="G5" s="49"/>
      <c r="H5" s="49"/>
      <c r="I5" s="49"/>
      <c r="J5" s="49"/>
      <c r="K5" s="49"/>
      <c r="L5" s="49"/>
      <c r="M5" s="49"/>
      <c r="N5" s="49"/>
      <c r="O5" s="49"/>
      <c r="P5" s="49"/>
    </row>
    <row r="6" spans="1:16" s="5" customFormat="1" x14ac:dyDescent="0.2">
      <c r="A6" s="49"/>
      <c r="B6" s="49"/>
      <c r="C6" s="49"/>
      <c r="D6" s="49"/>
      <c r="E6" s="49"/>
      <c r="F6" s="49"/>
      <c r="G6" s="49"/>
      <c r="H6" s="49"/>
      <c r="I6" s="49"/>
      <c r="J6" s="49"/>
      <c r="K6" s="49"/>
      <c r="L6" s="49"/>
      <c r="M6" s="49"/>
      <c r="N6" s="49"/>
      <c r="O6" s="49"/>
      <c r="P6" s="49"/>
    </row>
    <row r="7" spans="1:16" s="5" customFormat="1" x14ac:dyDescent="0.2">
      <c r="A7" s="49"/>
      <c r="B7" s="49"/>
      <c r="C7" s="49"/>
      <c r="D7" s="49"/>
      <c r="E7" s="49"/>
      <c r="F7" s="49"/>
      <c r="G7" s="49"/>
      <c r="H7" s="49"/>
      <c r="I7" s="49"/>
      <c r="J7" s="49"/>
      <c r="K7" s="49"/>
      <c r="L7" s="49"/>
      <c r="M7" s="49"/>
      <c r="N7" s="49"/>
      <c r="O7" s="49"/>
      <c r="P7" s="49"/>
    </row>
    <row r="8" spans="1:16" s="5" customFormat="1" x14ac:dyDescent="0.2">
      <c r="A8" s="49"/>
      <c r="B8" s="49"/>
      <c r="C8" s="49"/>
      <c r="D8" s="49"/>
      <c r="E8" s="49"/>
      <c r="F8" s="49"/>
      <c r="G8" s="49"/>
      <c r="H8" s="49"/>
      <c r="I8" s="49"/>
      <c r="J8" s="49"/>
      <c r="K8" s="49"/>
      <c r="L8" s="49"/>
      <c r="M8" s="49"/>
      <c r="N8" s="49"/>
      <c r="O8" s="49"/>
      <c r="P8" s="49"/>
    </row>
    <row r="9" spans="1:16" s="5" customFormat="1" x14ac:dyDescent="0.2">
      <c r="A9" s="49"/>
      <c r="B9" s="49"/>
      <c r="C9" s="49"/>
      <c r="D9" s="49"/>
      <c r="E9" s="49"/>
      <c r="F9" s="49"/>
      <c r="G9" s="49"/>
      <c r="H9" s="49"/>
      <c r="I9" s="49"/>
      <c r="J9" s="49"/>
      <c r="K9" s="49"/>
      <c r="L9" s="49"/>
      <c r="M9" s="49"/>
      <c r="N9" s="49"/>
      <c r="O9" s="49"/>
      <c r="P9" s="49"/>
    </row>
    <row r="10" spans="1:16" s="5" customFormat="1" x14ac:dyDescent="0.2">
      <c r="A10" s="49"/>
      <c r="B10" s="49"/>
      <c r="C10" s="49"/>
      <c r="D10" s="49"/>
      <c r="E10" s="49"/>
      <c r="F10" s="49"/>
      <c r="G10" s="49"/>
      <c r="H10" s="49"/>
      <c r="I10" s="49"/>
      <c r="J10" s="49"/>
      <c r="K10" s="49"/>
      <c r="L10" s="49"/>
      <c r="M10" s="49"/>
      <c r="N10" s="49"/>
      <c r="O10" s="49"/>
      <c r="P10" s="49"/>
    </row>
    <row r="11" spans="1:16" s="5" customFormat="1" x14ac:dyDescent="0.2">
      <c r="A11" s="49"/>
      <c r="B11" s="49"/>
      <c r="C11" s="49"/>
      <c r="D11" s="49"/>
      <c r="E11" s="49"/>
      <c r="F11" s="49"/>
      <c r="G11" s="49"/>
      <c r="H11" s="49"/>
      <c r="I11" s="49"/>
      <c r="J11" s="49"/>
      <c r="K11" s="49"/>
      <c r="L11" s="49"/>
      <c r="M11" s="49"/>
      <c r="N11" s="49"/>
      <c r="O11" s="49"/>
      <c r="P11" s="49"/>
    </row>
    <row r="12" spans="1:16" s="5" customFormat="1" x14ac:dyDescent="0.2">
      <c r="A12" s="49"/>
      <c r="B12" s="49"/>
      <c r="C12" s="49"/>
      <c r="D12" s="49"/>
      <c r="E12" s="49"/>
      <c r="F12" s="49"/>
      <c r="G12" s="49"/>
      <c r="H12" s="49"/>
      <c r="I12" s="49"/>
      <c r="J12" s="49"/>
      <c r="K12" s="49"/>
      <c r="L12" s="49"/>
      <c r="M12" s="49"/>
      <c r="N12" s="49"/>
      <c r="O12" s="49"/>
      <c r="P12" s="49"/>
    </row>
    <row r="13" spans="1:16" s="5" customFormat="1" x14ac:dyDescent="0.2">
      <c r="A13" s="49"/>
      <c r="B13" s="49"/>
      <c r="C13" s="49"/>
      <c r="D13" s="49"/>
      <c r="E13" s="49"/>
      <c r="F13" s="49"/>
      <c r="G13" s="49"/>
      <c r="H13" s="49"/>
      <c r="I13" s="49"/>
      <c r="J13" s="49"/>
      <c r="K13" s="49"/>
      <c r="L13" s="49"/>
      <c r="M13" s="49"/>
      <c r="N13" s="49"/>
      <c r="O13" s="49"/>
      <c r="P13" s="49"/>
    </row>
    <row r="14" spans="1:16" s="5" customFormat="1" ht="15" customHeight="1" x14ac:dyDescent="0.2">
      <c r="A14" s="49"/>
      <c r="B14" s="49"/>
      <c r="C14" s="49"/>
      <c r="D14" s="49"/>
      <c r="E14" s="49"/>
      <c r="F14" s="49"/>
      <c r="G14" s="49"/>
      <c r="H14" s="49"/>
      <c r="I14" s="49"/>
      <c r="J14" s="49"/>
      <c r="K14" s="49"/>
      <c r="L14" s="49"/>
      <c r="M14" s="49"/>
      <c r="N14" s="49"/>
      <c r="O14" s="49"/>
      <c r="P14" s="49"/>
    </row>
    <row r="15" spans="1:16" s="5" customFormat="1" ht="11.25" customHeight="1" x14ac:dyDescent="0.2">
      <c r="A15" s="49"/>
      <c r="B15" s="49"/>
      <c r="C15" s="49"/>
      <c r="D15" s="49"/>
      <c r="E15" s="49"/>
      <c r="F15" s="49"/>
      <c r="G15" s="49"/>
      <c r="H15" s="49"/>
      <c r="I15" s="49"/>
      <c r="J15" s="49"/>
      <c r="K15" s="49"/>
      <c r="L15" s="49"/>
      <c r="M15" s="49"/>
      <c r="N15" s="49"/>
      <c r="O15" s="49"/>
      <c r="P15" s="49"/>
    </row>
    <row r="16" spans="1:16" s="5" customFormat="1" ht="15" hidden="1" customHeight="1" x14ac:dyDescent="0.2">
      <c r="A16" s="49"/>
      <c r="B16" s="49"/>
      <c r="C16" s="49"/>
      <c r="D16" s="49"/>
      <c r="E16" s="49"/>
      <c r="F16" s="49"/>
      <c r="G16" s="49"/>
      <c r="H16" s="49"/>
      <c r="I16" s="49"/>
      <c r="J16" s="49"/>
      <c r="K16" s="49"/>
      <c r="L16" s="49"/>
      <c r="M16" s="49"/>
      <c r="N16" s="49"/>
      <c r="O16" s="49"/>
      <c r="P16" s="49"/>
    </row>
    <row r="17" spans="1:16" s="5" customFormat="1" x14ac:dyDescent="0.2">
      <c r="A17" s="49"/>
      <c r="B17" s="49"/>
      <c r="C17" s="49"/>
      <c r="D17" s="49"/>
      <c r="E17" s="49"/>
      <c r="F17" s="49"/>
      <c r="G17" s="49"/>
      <c r="H17" s="49"/>
      <c r="I17" s="49"/>
      <c r="J17" s="49"/>
      <c r="K17" s="49"/>
      <c r="L17" s="49"/>
      <c r="M17" s="49"/>
      <c r="N17" s="49"/>
      <c r="O17" s="49"/>
      <c r="P17" s="49"/>
    </row>
    <row r="18" spans="1:16" s="5" customFormat="1" ht="15" customHeight="1" x14ac:dyDescent="0.2">
      <c r="A18" s="49"/>
      <c r="B18" s="49"/>
      <c r="C18" s="49"/>
      <c r="D18" s="49"/>
      <c r="E18" s="49"/>
      <c r="F18" s="49"/>
      <c r="G18" s="49"/>
      <c r="H18" s="49"/>
      <c r="I18" s="49"/>
      <c r="J18" s="49"/>
      <c r="K18" s="49"/>
      <c r="L18" s="49"/>
      <c r="M18" s="49"/>
      <c r="N18" s="49"/>
      <c r="O18" s="49"/>
      <c r="P18" s="49"/>
    </row>
    <row r="19" spans="1:16" s="5" customFormat="1" ht="15" customHeight="1" x14ac:dyDescent="0.2">
      <c r="A19" s="49"/>
      <c r="B19" s="49"/>
      <c r="C19" s="49"/>
      <c r="D19" s="49"/>
      <c r="E19" s="49"/>
      <c r="F19" s="49"/>
      <c r="G19" s="49"/>
      <c r="H19" s="49"/>
      <c r="I19" s="49"/>
      <c r="J19" s="49"/>
      <c r="K19" s="49"/>
      <c r="L19" s="49"/>
      <c r="M19" s="49"/>
      <c r="N19" s="49"/>
      <c r="O19" s="49"/>
      <c r="P19" s="49"/>
    </row>
    <row r="20" spans="1:16" s="5" customFormat="1" x14ac:dyDescent="0.2">
      <c r="A20" s="49"/>
      <c r="B20" s="49"/>
      <c r="C20" s="49"/>
      <c r="D20" s="49"/>
      <c r="E20" s="49"/>
      <c r="F20" s="49"/>
      <c r="G20" s="49"/>
      <c r="H20" s="49"/>
      <c r="I20" s="49"/>
      <c r="J20" s="49"/>
      <c r="K20" s="49"/>
      <c r="L20" s="49"/>
      <c r="M20" s="49"/>
      <c r="N20" s="49"/>
      <c r="O20" s="49"/>
      <c r="P20" s="49"/>
    </row>
    <row r="21" spans="1:16" s="5" customFormat="1" x14ac:dyDescent="0.2">
      <c r="A21" s="49"/>
      <c r="B21" s="49"/>
      <c r="C21" s="49"/>
      <c r="D21" s="49"/>
      <c r="E21" s="49"/>
      <c r="F21" s="49"/>
      <c r="G21" s="49"/>
      <c r="H21" s="49"/>
      <c r="I21" s="49"/>
      <c r="J21" s="49"/>
      <c r="K21" s="49"/>
      <c r="L21" s="49"/>
      <c r="M21" s="49"/>
      <c r="N21" s="49"/>
      <c r="O21" s="49"/>
      <c r="P21" s="49"/>
    </row>
    <row r="22" spans="1:16" s="5" customFormat="1" x14ac:dyDescent="0.2">
      <c r="A22" s="49"/>
      <c r="B22" s="49"/>
      <c r="C22" s="49"/>
      <c r="D22" s="49"/>
      <c r="E22" s="49"/>
      <c r="F22" s="49"/>
      <c r="G22" s="49"/>
      <c r="H22" s="49"/>
      <c r="I22" s="49"/>
      <c r="J22" s="49"/>
      <c r="K22" s="49"/>
      <c r="L22" s="49"/>
      <c r="M22" s="49"/>
      <c r="N22" s="49"/>
      <c r="O22" s="49"/>
      <c r="P22" s="49"/>
    </row>
    <row r="23" spans="1:16" s="5" customFormat="1" x14ac:dyDescent="0.2">
      <c r="A23" s="49"/>
      <c r="B23" s="49"/>
      <c r="C23" s="49"/>
      <c r="D23" s="49"/>
      <c r="E23" s="49"/>
      <c r="F23" s="49"/>
      <c r="G23" s="49"/>
      <c r="H23" s="49"/>
      <c r="I23" s="49"/>
      <c r="J23" s="49"/>
      <c r="K23" s="49"/>
      <c r="L23" s="49"/>
      <c r="M23" s="49"/>
      <c r="N23" s="49"/>
      <c r="O23" s="49"/>
      <c r="P23" s="49"/>
    </row>
    <row r="24" spans="1:16" s="5" customFormat="1" x14ac:dyDescent="0.2">
      <c r="A24" s="49"/>
      <c r="B24" s="49"/>
      <c r="C24" s="49"/>
      <c r="D24" s="49"/>
      <c r="E24" s="49"/>
      <c r="F24" s="49"/>
      <c r="G24" s="49"/>
      <c r="H24" s="49"/>
      <c r="I24" s="49"/>
      <c r="J24" s="49"/>
      <c r="K24" s="49"/>
      <c r="L24" s="49"/>
      <c r="M24" s="49"/>
      <c r="N24" s="49"/>
      <c r="O24" s="49"/>
      <c r="P24" s="49"/>
    </row>
    <row r="25" spans="1:16" s="5" customFormat="1" x14ac:dyDescent="0.2">
      <c r="A25" s="49"/>
      <c r="B25" s="49"/>
      <c r="C25" s="49"/>
      <c r="D25" s="49"/>
      <c r="E25" s="49"/>
      <c r="F25" s="49"/>
      <c r="G25" s="49"/>
      <c r="H25" s="49"/>
      <c r="I25" s="49"/>
      <c r="J25" s="49"/>
      <c r="K25" s="49"/>
      <c r="L25" s="49"/>
      <c r="M25" s="49"/>
      <c r="N25" s="49"/>
      <c r="O25" s="49"/>
      <c r="P25" s="49"/>
    </row>
    <row r="26" spans="1:16" s="5" customFormat="1" x14ac:dyDescent="0.2">
      <c r="A26" s="49"/>
      <c r="B26" s="49"/>
      <c r="C26" s="49"/>
      <c r="D26" s="49"/>
      <c r="E26" s="49"/>
      <c r="F26" s="49"/>
      <c r="G26" s="49"/>
      <c r="H26" s="49"/>
      <c r="I26" s="49"/>
      <c r="J26" s="49"/>
      <c r="K26" s="49"/>
      <c r="L26" s="49"/>
      <c r="M26" s="49"/>
      <c r="N26" s="49"/>
      <c r="O26" s="49"/>
      <c r="P26" s="49"/>
    </row>
    <row r="27" spans="1:16" s="5" customFormat="1" x14ac:dyDescent="0.2">
      <c r="A27" s="49"/>
      <c r="B27" s="49"/>
      <c r="C27" s="49"/>
      <c r="D27" s="49"/>
      <c r="E27" s="49"/>
      <c r="F27" s="49"/>
      <c r="G27" s="49"/>
      <c r="H27" s="49"/>
      <c r="I27" s="49"/>
      <c r="J27" s="49"/>
      <c r="K27" s="49"/>
      <c r="L27" s="49"/>
      <c r="M27" s="49"/>
      <c r="N27" s="49"/>
      <c r="O27" s="49"/>
      <c r="P27" s="49"/>
    </row>
    <row r="28" spans="1:16" s="5" customFormat="1" x14ac:dyDescent="0.2">
      <c r="A28" s="49"/>
      <c r="B28" s="49"/>
      <c r="C28" s="49"/>
      <c r="D28" s="49"/>
      <c r="E28" s="49"/>
      <c r="F28" s="49"/>
      <c r="G28" s="49"/>
      <c r="H28" s="49"/>
      <c r="I28" s="49"/>
      <c r="J28" s="49"/>
      <c r="K28" s="49"/>
      <c r="L28" s="49"/>
      <c r="M28" s="49"/>
      <c r="N28" s="49"/>
      <c r="O28" s="49"/>
      <c r="P28" s="49"/>
    </row>
    <row r="29" spans="1:16" s="5" customFormat="1" x14ac:dyDescent="0.2">
      <c r="A29" s="49" t="s">
        <v>388</v>
      </c>
      <c r="F29" s="3"/>
      <c r="G29" s="4"/>
      <c r="H29" s="6"/>
      <c r="I29" s="6"/>
    </row>
    <row r="30" spans="1:16" s="5" customFormat="1" x14ac:dyDescent="0.2">
      <c r="A30" s="49" t="s">
        <v>388</v>
      </c>
      <c r="F30" s="3"/>
      <c r="G30" s="4"/>
      <c r="H30" s="6"/>
      <c r="I30" s="6"/>
    </row>
    <row r="31" spans="1:16" s="5" customFormat="1" x14ac:dyDescent="0.2">
      <c r="A31" s="49" t="s">
        <v>388</v>
      </c>
      <c r="F31" s="3"/>
      <c r="G31" s="4"/>
      <c r="H31" s="6"/>
      <c r="I31" s="6"/>
    </row>
    <row r="32" spans="1:16" s="5" customFormat="1" x14ac:dyDescent="0.2">
      <c r="A32" s="49" t="s">
        <v>388</v>
      </c>
      <c r="F32" s="3"/>
      <c r="G32" s="4"/>
      <c r="H32" s="6"/>
      <c r="I32" s="6"/>
    </row>
    <row r="33" spans="1:9" s="5" customFormat="1" x14ac:dyDescent="0.2">
      <c r="A33" s="49" t="s">
        <v>388</v>
      </c>
      <c r="F33" s="3"/>
      <c r="G33" s="4"/>
      <c r="H33" s="6"/>
      <c r="I33" s="6"/>
    </row>
    <row r="34" spans="1:9" s="5" customFormat="1" x14ac:dyDescent="0.2">
      <c r="A34" s="49" t="s">
        <v>388</v>
      </c>
      <c r="F34" s="3"/>
      <c r="G34" s="4"/>
      <c r="H34" s="6"/>
      <c r="I34" s="6"/>
    </row>
    <row r="35" spans="1:9" s="5" customFormat="1" x14ac:dyDescent="0.2">
      <c r="A35" s="49" t="s">
        <v>388</v>
      </c>
      <c r="F35" s="3"/>
      <c r="G35" s="4"/>
      <c r="H35" s="6"/>
      <c r="I35" s="6"/>
    </row>
    <row r="36" spans="1:9" s="5" customFormat="1" x14ac:dyDescent="0.2">
      <c r="A36" s="49" t="s">
        <v>388</v>
      </c>
      <c r="F36" s="3"/>
      <c r="G36" s="4"/>
      <c r="H36" s="6"/>
      <c r="I36" s="6"/>
    </row>
  </sheetData>
  <pageMargins left="0.7" right="0.7" top="0.75" bottom="0.75" header="0.3" footer="0.3"/>
  <pageSetup orientation="landscape" horizontalDpi="1200" verticalDpi="1200" r:id="rId1"/>
  <headerFooter>
    <oddFooter>&amp;C&amp;"CenturyGothic"Page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A4C3D-BD91-4B40-8C15-A557B3D90BD5}">
  <sheetPr codeName="Sheet5"/>
  <dimension ref="B1:C26"/>
  <sheetViews>
    <sheetView showGridLines="0" topLeftCell="A24" zoomScale="107" zoomScaleNormal="100" workbookViewId="0">
      <selection activeCell="C14" sqref="C14"/>
    </sheetView>
  </sheetViews>
  <sheetFormatPr baseColWidth="10" defaultColWidth="8.83203125" defaultRowHeight="15" x14ac:dyDescent="0.2"/>
  <cols>
    <col min="1" max="1" width="2.33203125" customWidth="1"/>
    <col min="2" max="2" width="30" style="15" customWidth="1"/>
    <col min="3" max="3" width="149.83203125" style="1" customWidth="1"/>
  </cols>
  <sheetData>
    <row r="1" spans="2:3" ht="74.25" customHeight="1" thickBot="1" x14ac:dyDescent="0.25"/>
    <row r="2" spans="2:3" x14ac:dyDescent="0.2">
      <c r="B2" s="78" t="s">
        <v>366</v>
      </c>
      <c r="C2" s="79"/>
    </row>
    <row r="3" spans="2:3" ht="206.25" customHeight="1" x14ac:dyDescent="0.2">
      <c r="B3" s="24" t="s">
        <v>224</v>
      </c>
      <c r="C3" s="16" t="s">
        <v>413</v>
      </c>
    </row>
    <row r="4" spans="2:3" ht="32" x14ac:dyDescent="0.2">
      <c r="B4" s="24" t="s">
        <v>351</v>
      </c>
      <c r="C4" s="16" t="s">
        <v>414</v>
      </c>
    </row>
    <row r="5" spans="2:3" ht="55.5" customHeight="1" x14ac:dyDescent="0.2">
      <c r="B5" s="24" t="s">
        <v>397</v>
      </c>
      <c r="C5" s="16" t="s">
        <v>411</v>
      </c>
    </row>
    <row r="6" spans="2:3" ht="132" customHeight="1" x14ac:dyDescent="0.2">
      <c r="B6" s="24" t="s">
        <v>352</v>
      </c>
      <c r="C6" s="16" t="s">
        <v>353</v>
      </c>
    </row>
    <row r="7" spans="2:3" ht="199.5" customHeight="1" x14ac:dyDescent="0.2">
      <c r="B7" s="24" t="s">
        <v>223</v>
      </c>
      <c r="C7" s="16" t="s">
        <v>365</v>
      </c>
    </row>
    <row r="8" spans="2:3" ht="113" x14ac:dyDescent="0.2">
      <c r="B8" s="24" t="s">
        <v>396</v>
      </c>
      <c r="C8" s="16" t="s">
        <v>412</v>
      </c>
    </row>
    <row r="9" spans="2:3" ht="93" customHeight="1" x14ac:dyDescent="0.2">
      <c r="B9" s="24" t="s">
        <v>395</v>
      </c>
      <c r="C9" s="16" t="s">
        <v>418</v>
      </c>
    </row>
    <row r="10" spans="2:3" ht="380" x14ac:dyDescent="0.2">
      <c r="B10" s="24" t="s">
        <v>394</v>
      </c>
      <c r="C10" s="16" t="s">
        <v>417</v>
      </c>
    </row>
    <row r="11" spans="2:3" ht="139.5" customHeight="1" x14ac:dyDescent="0.2">
      <c r="B11" s="59" t="s">
        <v>415</v>
      </c>
      <c r="C11" s="60" t="s">
        <v>416</v>
      </c>
    </row>
    <row r="12" spans="2:3" ht="152.25" customHeight="1" x14ac:dyDescent="0.2">
      <c r="B12" s="59" t="s">
        <v>419</v>
      </c>
      <c r="C12" s="60" t="s">
        <v>420</v>
      </c>
    </row>
    <row r="13" spans="2:3" ht="71.25" customHeight="1" x14ac:dyDescent="0.2">
      <c r="B13" s="68" t="s">
        <v>145</v>
      </c>
      <c r="C13" s="16" t="s">
        <v>406</v>
      </c>
    </row>
    <row r="14" spans="2:3" s="2" customFormat="1" ht="34.5" customHeight="1" thickBot="1" x14ac:dyDescent="0.25">
      <c r="B14" s="64" t="s">
        <v>421</v>
      </c>
      <c r="C14" s="69" t="s">
        <v>422</v>
      </c>
    </row>
    <row r="16" spans="2:3" x14ac:dyDescent="0.2">
      <c r="C16" s="66"/>
    </row>
    <row r="18" spans="2:3" ht="16" thickBot="1" x14ac:dyDescent="0.25">
      <c r="C18" s="67"/>
    </row>
    <row r="19" spans="2:3" x14ac:dyDescent="0.2">
      <c r="B19" s="78" t="s">
        <v>147</v>
      </c>
      <c r="C19" s="79"/>
    </row>
    <row r="20" spans="2:3" s="5" customFormat="1" ht="32" x14ac:dyDescent="0.2">
      <c r="B20" s="24" t="s">
        <v>148</v>
      </c>
      <c r="C20" s="16" t="s">
        <v>343</v>
      </c>
    </row>
    <row r="21" spans="2:3" ht="32" x14ac:dyDescent="0.2">
      <c r="B21" s="24" t="s">
        <v>344</v>
      </c>
      <c r="C21" s="16" t="s">
        <v>345</v>
      </c>
    </row>
    <row r="22" spans="2:3" s="5" customFormat="1" ht="21" customHeight="1" x14ac:dyDescent="0.2">
      <c r="B22" s="24" t="s">
        <v>149</v>
      </c>
      <c r="C22" s="16" t="s">
        <v>346</v>
      </c>
    </row>
    <row r="23" spans="2:3" ht="32" x14ac:dyDescent="0.2">
      <c r="B23" s="24" t="s">
        <v>150</v>
      </c>
      <c r="C23" s="16" t="s">
        <v>347</v>
      </c>
    </row>
    <row r="24" spans="2:3" ht="32" x14ac:dyDescent="0.2">
      <c r="B24" s="24" t="s">
        <v>151</v>
      </c>
      <c r="C24" s="16" t="s">
        <v>348</v>
      </c>
    </row>
    <row r="25" spans="2:3" s="5" customFormat="1" ht="32" x14ac:dyDescent="0.2">
      <c r="B25" s="24" t="s">
        <v>152</v>
      </c>
      <c r="C25" s="16" t="s">
        <v>349</v>
      </c>
    </row>
    <row r="26" spans="2:3" ht="33" thickBot="1" x14ac:dyDescent="0.25">
      <c r="B26" s="64" t="s">
        <v>153</v>
      </c>
      <c r="C26" s="17" t="s">
        <v>350</v>
      </c>
    </row>
  </sheetData>
  <sheetProtection algorithmName="SHA-512" hashValue="iKvnjMbjxN2jNNZ9ol+Yyqc4Jzk2jnvv1EMofQCq6qhzhpxeBubZ3n7PUfAr+4XypRrRBe/tuJDQ321G00iEcg==" saltValue="bDCtCtT0ZuQQxb3eY3SjjA==" spinCount="100000" sheet="1" objects="1" scenarios="1"/>
  <mergeCells count="2">
    <mergeCell ref="B2:C2"/>
    <mergeCell ref="B19:C19"/>
  </mergeCells>
  <hyperlinks>
    <hyperlink ref="C14" r:id="rId1" display="https://creativecommons.org/licenses/by-nc-nd/4.0/?ref=chooser-v1" xr:uid="{9653848F-608A-4AEE-9D6C-A818A930B351}"/>
  </hyperlinks>
  <pageMargins left="0.7" right="0.7" top="0.75" bottom="0.75" header="0.3" footer="0.3"/>
  <pageSetup orientation="portrait" horizontalDpi="300" verticalDpi="300"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C371E-B81E-4DB0-A5FC-C75BE63027A5}">
  <sheetPr codeName="Sheet15"/>
  <dimension ref="B1:E41"/>
  <sheetViews>
    <sheetView showGridLines="0" zoomScaleNormal="100" workbookViewId="0">
      <selection activeCell="D17" sqref="D17"/>
    </sheetView>
  </sheetViews>
  <sheetFormatPr baseColWidth="10" defaultColWidth="8.83203125" defaultRowHeight="15" x14ac:dyDescent="0.2"/>
  <cols>
    <col min="2" max="2" width="8.6640625" style="3"/>
    <col min="3" max="3" width="79.83203125" style="1" customWidth="1"/>
    <col min="4" max="4" width="71.83203125" customWidth="1"/>
    <col min="5" max="5" width="8.83203125" style="55"/>
  </cols>
  <sheetData>
    <row r="1" spans="2:5" ht="14.5" customHeight="1" x14ac:dyDescent="0.2">
      <c r="B1" s="80" t="s">
        <v>219</v>
      </c>
      <c r="C1" s="80"/>
      <c r="D1" s="80"/>
    </row>
    <row r="2" spans="2:5" ht="15" customHeight="1" x14ac:dyDescent="0.2">
      <c r="B2" s="80"/>
      <c r="C2" s="80"/>
      <c r="D2" s="80"/>
    </row>
    <row r="3" spans="2:5" x14ac:dyDescent="0.2">
      <c r="C3" s="15"/>
    </row>
    <row r="4" spans="2:5" ht="17" thickBot="1" x14ac:dyDescent="0.25">
      <c r="B4" s="35" t="s">
        <v>221</v>
      </c>
      <c r="C4" s="33" t="s">
        <v>220</v>
      </c>
      <c r="D4" s="32" t="s">
        <v>218</v>
      </c>
    </row>
    <row r="5" spans="2:5" s="27" customFormat="1" ht="26.25" customHeight="1" thickBot="1" x14ac:dyDescent="0.25">
      <c r="B5" s="34">
        <v>1</v>
      </c>
      <c r="C5" s="30" t="s">
        <v>207</v>
      </c>
      <c r="D5" s="31" t="s">
        <v>423</v>
      </c>
      <c r="E5" s="56"/>
    </row>
    <row r="6" spans="2:5" ht="15.75" customHeight="1" thickBot="1" x14ac:dyDescent="0.25"/>
    <row r="7" spans="2:5" ht="24.75" customHeight="1" thickBot="1" x14ac:dyDescent="0.25">
      <c r="B7" s="34">
        <v>2</v>
      </c>
      <c r="C7" s="29" t="s">
        <v>374</v>
      </c>
      <c r="D7" s="28" t="s">
        <v>441</v>
      </c>
    </row>
    <row r="8" spans="2:5" ht="15.75" customHeight="1" thickBot="1" x14ac:dyDescent="0.25"/>
    <row r="9" spans="2:5" ht="24.75" customHeight="1" thickBot="1" x14ac:dyDescent="0.25">
      <c r="B9" s="34">
        <v>3</v>
      </c>
      <c r="C9" s="29" t="s">
        <v>376</v>
      </c>
      <c r="D9" s="28" t="s">
        <v>427</v>
      </c>
    </row>
    <row r="10" spans="2:5" ht="15.75" customHeight="1" thickBot="1" x14ac:dyDescent="0.25"/>
    <row r="11" spans="2:5" ht="24.75" customHeight="1" thickBot="1" x14ac:dyDescent="0.25">
      <c r="B11" s="34">
        <v>4</v>
      </c>
      <c r="C11" s="29" t="s">
        <v>375</v>
      </c>
      <c r="D11" s="43" t="s">
        <v>424</v>
      </c>
    </row>
    <row r="12" spans="2:5" ht="15.75" customHeight="1" thickBot="1" x14ac:dyDescent="0.25"/>
    <row r="13" spans="2:5" ht="24.75" customHeight="1" thickBot="1" x14ac:dyDescent="0.25">
      <c r="B13" s="34">
        <v>5</v>
      </c>
      <c r="C13" s="29" t="s">
        <v>382</v>
      </c>
      <c r="D13" s="43" t="s">
        <v>426</v>
      </c>
    </row>
    <row r="14" spans="2:5" ht="15.75" customHeight="1" thickBot="1" x14ac:dyDescent="0.25"/>
    <row r="15" spans="2:5" ht="24.75" customHeight="1" thickBot="1" x14ac:dyDescent="0.25">
      <c r="B15" s="34">
        <v>5</v>
      </c>
      <c r="C15" s="29" t="s">
        <v>208</v>
      </c>
      <c r="D15" s="28" t="s">
        <v>425</v>
      </c>
    </row>
    <row r="16" spans="2:5" ht="16" thickBot="1" x14ac:dyDescent="0.25">
      <c r="C16" s="28"/>
    </row>
    <row r="17" spans="2:5" ht="37.5" customHeight="1" thickBot="1" x14ac:dyDescent="0.25">
      <c r="B17" s="34">
        <v>6</v>
      </c>
      <c r="C17" s="29" t="s">
        <v>209</v>
      </c>
      <c r="D17" s="44" t="s">
        <v>442</v>
      </c>
      <c r="E17" s="57" t="s">
        <v>392</v>
      </c>
    </row>
    <row r="18" spans="2:5" ht="16" thickBot="1" x14ac:dyDescent="0.25"/>
    <row r="19" spans="2:5" ht="24.75" customHeight="1" thickBot="1" x14ac:dyDescent="0.25">
      <c r="B19" s="34">
        <v>7</v>
      </c>
      <c r="C19" s="29" t="s">
        <v>405</v>
      </c>
      <c r="D19" s="28" t="s">
        <v>425</v>
      </c>
    </row>
    <row r="20" spans="2:5" ht="16" thickBot="1" x14ac:dyDescent="0.25"/>
    <row r="21" spans="2:5" ht="24.75" customHeight="1" thickBot="1" x14ac:dyDescent="0.25">
      <c r="B21" s="34">
        <v>8</v>
      </c>
      <c r="C21" s="29" t="s">
        <v>210</v>
      </c>
      <c r="D21" s="28" t="s">
        <v>440</v>
      </c>
      <c r="E21" s="57" t="s">
        <v>392</v>
      </c>
    </row>
    <row r="22" spans="2:5" ht="16" thickBot="1" x14ac:dyDescent="0.25"/>
    <row r="23" spans="2:5" ht="112.5" customHeight="1" thickBot="1" x14ac:dyDescent="0.25">
      <c r="B23" s="34">
        <v>9</v>
      </c>
      <c r="C23" s="29" t="s">
        <v>212</v>
      </c>
      <c r="D23" s="44" t="s">
        <v>444</v>
      </c>
      <c r="E23" s="57" t="s">
        <v>391</v>
      </c>
    </row>
    <row r="24" spans="2:5" ht="16" thickBot="1" x14ac:dyDescent="0.25"/>
    <row r="25" spans="2:5" ht="92.5" customHeight="1" thickBot="1" x14ac:dyDescent="0.25">
      <c r="B25" s="34">
        <v>10</v>
      </c>
      <c r="C25" s="29" t="s">
        <v>211</v>
      </c>
      <c r="D25" s="28" t="s">
        <v>443</v>
      </c>
    </row>
    <row r="26" spans="2:5" ht="16" thickBot="1" x14ac:dyDescent="0.25"/>
    <row r="27" spans="2:5" ht="120.75" customHeight="1" thickBot="1" x14ac:dyDescent="0.25">
      <c r="B27" s="34">
        <v>11</v>
      </c>
      <c r="C27" s="29" t="s">
        <v>213</v>
      </c>
      <c r="D27" s="44" t="s">
        <v>445</v>
      </c>
      <c r="E27" s="57" t="s">
        <v>390</v>
      </c>
    </row>
    <row r="28" spans="2:5" ht="16" thickBot="1" x14ac:dyDescent="0.25"/>
    <row r="29" spans="2:5" ht="24.75" customHeight="1" thickBot="1" x14ac:dyDescent="0.25">
      <c r="B29" s="34">
        <v>12</v>
      </c>
      <c r="C29" s="29" t="s">
        <v>214</v>
      </c>
      <c r="D29" s="28" t="s">
        <v>425</v>
      </c>
    </row>
    <row r="30" spans="2:5" ht="16" thickBot="1" x14ac:dyDescent="0.25"/>
    <row r="31" spans="2:5" ht="34.5" customHeight="1" thickBot="1" x14ac:dyDescent="0.25">
      <c r="B31" s="34">
        <v>13</v>
      </c>
      <c r="C31" s="29" t="s">
        <v>378</v>
      </c>
      <c r="D31" s="44" t="s">
        <v>446</v>
      </c>
      <c r="E31" s="57" t="s">
        <v>389</v>
      </c>
    </row>
    <row r="32" spans="2:5" ht="16" thickBot="1" x14ac:dyDescent="0.25"/>
    <row r="33" spans="2:4" ht="24.75" customHeight="1" thickBot="1" x14ac:dyDescent="0.25">
      <c r="B33" s="34">
        <v>14</v>
      </c>
      <c r="C33" s="29" t="s">
        <v>215</v>
      </c>
      <c r="D33" s="28" t="s">
        <v>428</v>
      </c>
    </row>
    <row r="34" spans="2:4" ht="16" thickBot="1" x14ac:dyDescent="0.25"/>
    <row r="35" spans="2:4" ht="34.5" customHeight="1" thickBot="1" x14ac:dyDescent="0.25">
      <c r="B35" s="34">
        <v>15</v>
      </c>
      <c r="C35" s="29" t="s">
        <v>216</v>
      </c>
      <c r="D35" s="28" t="s">
        <v>431</v>
      </c>
    </row>
    <row r="36" spans="2:4" ht="16" thickBot="1" x14ac:dyDescent="0.25"/>
    <row r="37" spans="2:4" ht="39.75" customHeight="1" thickBot="1" x14ac:dyDescent="0.25">
      <c r="B37" s="34">
        <v>16</v>
      </c>
      <c r="C37" s="29" t="s">
        <v>342</v>
      </c>
      <c r="D37" s="28" t="s">
        <v>429</v>
      </c>
    </row>
    <row r="38" spans="2:4" ht="16" thickBot="1" x14ac:dyDescent="0.25"/>
    <row r="39" spans="2:4" ht="66.75" customHeight="1" thickBot="1" x14ac:dyDescent="0.25">
      <c r="B39" s="34">
        <v>17</v>
      </c>
      <c r="C39" s="29" t="s">
        <v>222</v>
      </c>
      <c r="D39" s="28" t="s">
        <v>468</v>
      </c>
    </row>
    <row r="40" spans="2:4" ht="16" thickBot="1" x14ac:dyDescent="0.25"/>
    <row r="41" spans="2:4" ht="54.75" customHeight="1" thickBot="1" x14ac:dyDescent="0.25">
      <c r="B41" s="34">
        <v>18</v>
      </c>
      <c r="C41" s="29" t="s">
        <v>217</v>
      </c>
      <c r="D41" s="44" t="s">
        <v>430</v>
      </c>
    </row>
  </sheetData>
  <sheetProtection algorithmName="SHA-512" hashValue="ZE6Dy0H0nCUrAXjEXgV5O6RRHYqTOJH6tS8158D5QEVZvKkU9aKoOto40GdwHmKFW+nwzpvGdhwQ5F3bMDR+ww==" saltValue="DWvfEqQ8wUQhozzpghn5Kw==" spinCount="100000" sheet="1" objects="1" scenarios="1"/>
  <protectedRanges>
    <protectedRange sqref="D1:D1048576" name="Range1"/>
  </protectedRanges>
  <mergeCells count="1">
    <mergeCell ref="B1:D2"/>
  </mergeCells>
  <dataValidations count="1">
    <dataValidation type="list" allowBlank="1" showInputMessage="1" showErrorMessage="1" sqref="D15 C16 D19 D29" xr:uid="{7D0E3C77-F18D-4DC7-9377-1DA12FB40270}">
      <formula1>"Yes, No"</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9264A-1254-429D-BDDA-F80DA29DCD2A}">
  <sheetPr codeName="Sheet6"/>
  <dimension ref="A1:H49"/>
  <sheetViews>
    <sheetView showGridLines="0" tabSelected="1" topLeftCell="A31" zoomScaleNormal="100" workbookViewId="0">
      <selection activeCell="E48" sqref="E48"/>
    </sheetView>
  </sheetViews>
  <sheetFormatPr baseColWidth="10" defaultColWidth="8.83203125" defaultRowHeight="15" x14ac:dyDescent="0.2"/>
  <cols>
    <col min="1" max="1" width="2.33203125" customWidth="1"/>
    <col min="2" max="2" width="24.6640625" style="4" bestFit="1" customWidth="1"/>
    <col min="3" max="3" width="11.5" style="3" customWidth="1"/>
    <col min="4" max="4" width="28.1640625" style="4" customWidth="1"/>
    <col min="5" max="5" width="93.1640625" bestFit="1" customWidth="1"/>
    <col min="6" max="6" width="37.83203125" style="2" customWidth="1"/>
    <col min="7" max="7" width="25.5" style="2" customWidth="1"/>
    <col min="8" max="8" width="51.5" style="2" customWidth="1"/>
  </cols>
  <sheetData>
    <row r="1" spans="1:8" ht="63" customHeight="1" x14ac:dyDescent="0.2">
      <c r="A1" t="s">
        <v>78</v>
      </c>
    </row>
    <row r="2" spans="1:8" s="10" customFormat="1" ht="22.5" customHeight="1" x14ac:dyDescent="0.2">
      <c r="B2" s="25" t="s">
        <v>3</v>
      </c>
      <c r="C2" s="26" t="s">
        <v>15</v>
      </c>
      <c r="D2" s="25" t="s">
        <v>9</v>
      </c>
      <c r="E2" s="25" t="s">
        <v>10</v>
      </c>
      <c r="F2" s="25" t="s">
        <v>88</v>
      </c>
      <c r="G2" s="25" t="s">
        <v>107</v>
      </c>
      <c r="H2" s="25" t="s">
        <v>140</v>
      </c>
    </row>
    <row r="3" spans="1:8" s="5" customFormat="1" ht="39" customHeight="1" x14ac:dyDescent="0.2">
      <c r="B3" s="7" t="s">
        <v>4</v>
      </c>
      <c r="C3" s="8" t="s">
        <v>134</v>
      </c>
      <c r="D3" s="7" t="s">
        <v>5</v>
      </c>
      <c r="E3" s="9" t="s">
        <v>303</v>
      </c>
      <c r="F3" s="7" t="s">
        <v>8</v>
      </c>
      <c r="G3" s="65" t="s">
        <v>133</v>
      </c>
      <c r="H3" s="11" t="s">
        <v>469</v>
      </c>
    </row>
    <row r="4" spans="1:8" s="5" customFormat="1" ht="54.75" customHeight="1" x14ac:dyDescent="0.2">
      <c r="B4" s="7" t="s">
        <v>4</v>
      </c>
      <c r="C4" s="8" t="s">
        <v>135</v>
      </c>
      <c r="D4" s="7" t="s">
        <v>12</v>
      </c>
      <c r="E4" s="9" t="s">
        <v>304</v>
      </c>
      <c r="F4" s="7" t="s">
        <v>8</v>
      </c>
      <c r="G4" s="65" t="s">
        <v>156</v>
      </c>
      <c r="H4" s="11" t="s">
        <v>470</v>
      </c>
    </row>
    <row r="5" spans="1:8" s="5" customFormat="1" ht="39" customHeight="1" x14ac:dyDescent="0.2">
      <c r="B5" s="7" t="s">
        <v>4</v>
      </c>
      <c r="C5" s="8" t="s">
        <v>136</v>
      </c>
      <c r="D5" s="7" t="s">
        <v>13</v>
      </c>
      <c r="E5" s="9" t="s">
        <v>305</v>
      </c>
      <c r="F5" s="7" t="s">
        <v>108</v>
      </c>
      <c r="G5" s="65" t="s">
        <v>156</v>
      </c>
      <c r="H5" s="11" t="s">
        <v>471</v>
      </c>
    </row>
    <row r="6" spans="1:8" s="5" customFormat="1" ht="64.5" customHeight="1" x14ac:dyDescent="0.2">
      <c r="B6" s="7" t="s">
        <v>4</v>
      </c>
      <c r="C6" s="8" t="s">
        <v>137</v>
      </c>
      <c r="D6" s="7" t="s">
        <v>14</v>
      </c>
      <c r="E6" s="9" t="s">
        <v>306</v>
      </c>
      <c r="F6" s="7" t="s">
        <v>109</v>
      </c>
      <c r="G6" s="65" t="s">
        <v>133</v>
      </c>
      <c r="H6" s="11" t="s">
        <v>472</v>
      </c>
    </row>
    <row r="7" spans="1:8" s="5" customFormat="1" ht="56.25" customHeight="1" x14ac:dyDescent="0.2">
      <c r="B7" s="7" t="s">
        <v>4</v>
      </c>
      <c r="C7" s="8" t="s">
        <v>138</v>
      </c>
      <c r="D7" s="7" t="s">
        <v>6</v>
      </c>
      <c r="E7" s="9" t="s">
        <v>308</v>
      </c>
      <c r="F7" s="7" t="s">
        <v>8</v>
      </c>
      <c r="G7" s="65" t="s">
        <v>156</v>
      </c>
      <c r="H7" s="11" t="s">
        <v>473</v>
      </c>
    </row>
    <row r="8" spans="1:8" s="5" customFormat="1" ht="45" customHeight="1" x14ac:dyDescent="0.2">
      <c r="B8" s="7" t="s">
        <v>4</v>
      </c>
      <c r="C8" s="8" t="s">
        <v>139</v>
      </c>
      <c r="D8" s="7" t="s">
        <v>7</v>
      </c>
      <c r="E8" s="9" t="s">
        <v>307</v>
      </c>
      <c r="F8" s="7" t="s">
        <v>108</v>
      </c>
      <c r="G8" s="65" t="s">
        <v>133</v>
      </c>
      <c r="H8" s="11" t="s">
        <v>474</v>
      </c>
    </row>
    <row r="9" spans="1:8" s="5" customFormat="1" ht="80.25" customHeight="1" x14ac:dyDescent="0.2">
      <c r="B9" s="7" t="s">
        <v>89</v>
      </c>
      <c r="C9" s="8" t="s">
        <v>90</v>
      </c>
      <c r="D9" s="7" t="s">
        <v>95</v>
      </c>
      <c r="E9" s="9" t="s">
        <v>399</v>
      </c>
      <c r="F9" s="7" t="s">
        <v>111</v>
      </c>
      <c r="G9" s="65" t="s">
        <v>133</v>
      </c>
      <c r="H9" s="11" t="s">
        <v>475</v>
      </c>
    </row>
    <row r="10" spans="1:8" s="5" customFormat="1" ht="81" customHeight="1" x14ac:dyDescent="0.2">
      <c r="B10" s="7" t="s">
        <v>89</v>
      </c>
      <c r="C10" s="8" t="s">
        <v>91</v>
      </c>
      <c r="D10" s="7" t="s">
        <v>96</v>
      </c>
      <c r="E10" s="9" t="s">
        <v>398</v>
      </c>
      <c r="F10" s="7" t="s">
        <v>111</v>
      </c>
      <c r="G10" s="65" t="s">
        <v>133</v>
      </c>
      <c r="H10" s="11" t="s">
        <v>476</v>
      </c>
    </row>
    <row r="11" spans="1:8" s="5" customFormat="1" ht="82.5" customHeight="1" x14ac:dyDescent="0.2">
      <c r="B11" s="7" t="s">
        <v>89</v>
      </c>
      <c r="C11" s="8" t="s">
        <v>92</v>
      </c>
      <c r="D11" s="7" t="s">
        <v>97</v>
      </c>
      <c r="E11" s="9" t="s">
        <v>400</v>
      </c>
      <c r="F11" s="7" t="s">
        <v>111</v>
      </c>
      <c r="G11" s="65" t="s">
        <v>133</v>
      </c>
      <c r="H11" s="11" t="s">
        <v>477</v>
      </c>
    </row>
    <row r="12" spans="1:8" s="5" customFormat="1" ht="86.25" customHeight="1" x14ac:dyDescent="0.2">
      <c r="B12" s="7" t="s">
        <v>89</v>
      </c>
      <c r="C12" s="8" t="s">
        <v>93</v>
      </c>
      <c r="D12" s="7" t="s">
        <v>98</v>
      </c>
      <c r="E12" s="9" t="s">
        <v>401</v>
      </c>
      <c r="F12" s="7" t="s">
        <v>354</v>
      </c>
      <c r="G12" s="65" t="s">
        <v>120</v>
      </c>
      <c r="H12" s="11" t="s">
        <v>482</v>
      </c>
    </row>
    <row r="13" spans="1:8" s="5" customFormat="1" ht="55.5" customHeight="1" x14ac:dyDescent="0.2">
      <c r="B13" s="7" t="s">
        <v>89</v>
      </c>
      <c r="C13" s="8" t="s">
        <v>94</v>
      </c>
      <c r="D13" s="7" t="s">
        <v>99</v>
      </c>
      <c r="E13" s="9" t="s">
        <v>402</v>
      </c>
      <c r="F13" s="7" t="s">
        <v>355</v>
      </c>
      <c r="G13" s="65" t="s">
        <v>133</v>
      </c>
      <c r="H13" s="11" t="s">
        <v>478</v>
      </c>
    </row>
    <row r="14" spans="1:8" s="5" customFormat="1" ht="45" customHeight="1" x14ac:dyDescent="0.2">
      <c r="B14" s="7" t="s">
        <v>16</v>
      </c>
      <c r="C14" s="8" t="s">
        <v>17</v>
      </c>
      <c r="D14" s="7" t="s">
        <v>18</v>
      </c>
      <c r="E14" s="9" t="s">
        <v>309</v>
      </c>
      <c r="F14" s="8" t="s">
        <v>110</v>
      </c>
      <c r="G14" s="65" t="s">
        <v>156</v>
      </c>
      <c r="H14" s="11" t="s">
        <v>479</v>
      </c>
    </row>
    <row r="15" spans="1:8" s="5" customFormat="1" ht="45" customHeight="1" x14ac:dyDescent="0.2">
      <c r="B15" s="7" t="s">
        <v>16</v>
      </c>
      <c r="C15" s="8" t="s">
        <v>28</v>
      </c>
      <c r="D15" s="7" t="s">
        <v>20</v>
      </c>
      <c r="E15" s="9" t="s">
        <v>280</v>
      </c>
      <c r="F15" s="7" t="s">
        <v>356</v>
      </c>
      <c r="G15" s="65" t="s">
        <v>133</v>
      </c>
      <c r="H15" s="11" t="s">
        <v>480</v>
      </c>
    </row>
    <row r="16" spans="1:8" s="5" customFormat="1" ht="45" customHeight="1" x14ac:dyDescent="0.2">
      <c r="B16" s="7" t="s">
        <v>16</v>
      </c>
      <c r="C16" s="8" t="s">
        <v>29</v>
      </c>
      <c r="D16" s="7" t="s">
        <v>22</v>
      </c>
      <c r="E16" s="9" t="s">
        <v>23</v>
      </c>
      <c r="F16" s="7" t="s">
        <v>356</v>
      </c>
      <c r="G16" s="65" t="s">
        <v>133</v>
      </c>
      <c r="H16" s="11" t="s">
        <v>481</v>
      </c>
    </row>
    <row r="17" spans="2:8" s="5" customFormat="1" ht="45" customHeight="1" x14ac:dyDescent="0.2">
      <c r="B17" s="7" t="s">
        <v>16</v>
      </c>
      <c r="C17" s="8" t="s">
        <v>30</v>
      </c>
      <c r="D17" s="7" t="s">
        <v>21</v>
      </c>
      <c r="E17" s="9" t="s">
        <v>281</v>
      </c>
      <c r="F17" s="7" t="s">
        <v>356</v>
      </c>
      <c r="G17" s="65" t="s">
        <v>156</v>
      </c>
      <c r="H17" s="11" t="s">
        <v>447</v>
      </c>
    </row>
    <row r="18" spans="2:8" s="5" customFormat="1" ht="45" customHeight="1" x14ac:dyDescent="0.2">
      <c r="B18" s="7" t="s">
        <v>16</v>
      </c>
      <c r="C18" s="8" t="s">
        <v>31</v>
      </c>
      <c r="D18" s="7" t="s">
        <v>25</v>
      </c>
      <c r="E18" s="9" t="s">
        <v>337</v>
      </c>
      <c r="F18" s="7" t="s">
        <v>357</v>
      </c>
      <c r="G18" s="65" t="s">
        <v>156</v>
      </c>
      <c r="H18" s="11" t="s">
        <v>448</v>
      </c>
    </row>
    <row r="19" spans="2:8" s="5" customFormat="1" ht="45" customHeight="1" x14ac:dyDescent="0.2">
      <c r="B19" s="7" t="s">
        <v>16</v>
      </c>
      <c r="C19" s="8" t="s">
        <v>32</v>
      </c>
      <c r="D19" s="7" t="s">
        <v>26</v>
      </c>
      <c r="E19" s="9" t="s">
        <v>27</v>
      </c>
      <c r="F19" s="7" t="s">
        <v>112</v>
      </c>
      <c r="G19" s="65" t="s">
        <v>156</v>
      </c>
      <c r="H19" s="11" t="s">
        <v>449</v>
      </c>
    </row>
    <row r="20" spans="2:8" s="5" customFormat="1" ht="45" customHeight="1" x14ac:dyDescent="0.2">
      <c r="B20" s="7" t="s">
        <v>16</v>
      </c>
      <c r="C20" s="8" t="s">
        <v>101</v>
      </c>
      <c r="D20" s="7" t="s">
        <v>103</v>
      </c>
      <c r="E20" s="9" t="s">
        <v>105</v>
      </c>
      <c r="F20" s="7" t="s">
        <v>356</v>
      </c>
      <c r="G20" s="65" t="s">
        <v>133</v>
      </c>
      <c r="H20" s="11" t="s">
        <v>450</v>
      </c>
    </row>
    <row r="21" spans="2:8" s="5" customFormat="1" ht="63.75" customHeight="1" x14ac:dyDescent="0.2">
      <c r="B21" s="7" t="s">
        <v>16</v>
      </c>
      <c r="C21" s="8" t="s">
        <v>102</v>
      </c>
      <c r="D21" s="7" t="s">
        <v>104</v>
      </c>
      <c r="E21" s="9" t="s">
        <v>310</v>
      </c>
      <c r="F21" s="7" t="s">
        <v>358</v>
      </c>
      <c r="G21" s="65" t="s">
        <v>156</v>
      </c>
      <c r="H21" s="11" t="s">
        <v>451</v>
      </c>
    </row>
    <row r="22" spans="2:8" s="5" customFormat="1" ht="49.5" customHeight="1" x14ac:dyDescent="0.2">
      <c r="B22" s="7" t="s">
        <v>33</v>
      </c>
      <c r="C22" s="8" t="s">
        <v>40</v>
      </c>
      <c r="D22" s="7" t="s">
        <v>34</v>
      </c>
      <c r="E22" s="9" t="s">
        <v>225</v>
      </c>
      <c r="F22" s="7" t="s">
        <v>110</v>
      </c>
      <c r="G22" s="65" t="s">
        <v>133</v>
      </c>
      <c r="H22" s="11" t="s">
        <v>452</v>
      </c>
    </row>
    <row r="23" spans="2:8" s="5" customFormat="1" ht="44.25" customHeight="1" x14ac:dyDescent="0.2">
      <c r="B23" s="7" t="s">
        <v>33</v>
      </c>
      <c r="C23" s="8" t="s">
        <v>41</v>
      </c>
      <c r="D23" s="7" t="s">
        <v>122</v>
      </c>
      <c r="E23" s="9" t="s">
        <v>311</v>
      </c>
      <c r="F23" s="7" t="s">
        <v>108</v>
      </c>
      <c r="G23" s="65" t="s">
        <v>133</v>
      </c>
      <c r="H23" s="11" t="s">
        <v>453</v>
      </c>
    </row>
    <row r="24" spans="2:8" s="5" customFormat="1" ht="41.25" customHeight="1" x14ac:dyDescent="0.2">
      <c r="B24" s="7" t="s">
        <v>33</v>
      </c>
      <c r="C24" s="8" t="s">
        <v>42</v>
      </c>
      <c r="D24" s="7" t="s">
        <v>36</v>
      </c>
      <c r="E24" s="9" t="s">
        <v>35</v>
      </c>
      <c r="F24" s="7" t="s">
        <v>110</v>
      </c>
      <c r="G24" s="65" t="s">
        <v>156</v>
      </c>
      <c r="H24" s="11" t="s">
        <v>458</v>
      </c>
    </row>
    <row r="25" spans="2:8" s="5" customFormat="1" ht="45.75" customHeight="1" x14ac:dyDescent="0.2">
      <c r="B25" s="7" t="s">
        <v>33</v>
      </c>
      <c r="C25" s="8" t="s">
        <v>43</v>
      </c>
      <c r="D25" s="7" t="s">
        <v>38</v>
      </c>
      <c r="E25" s="9" t="s">
        <v>282</v>
      </c>
      <c r="F25" s="7" t="s">
        <v>356</v>
      </c>
      <c r="G25" s="65" t="s">
        <v>156</v>
      </c>
      <c r="H25" s="11" t="s">
        <v>459</v>
      </c>
    </row>
    <row r="26" spans="2:8" s="5" customFormat="1" ht="45.75" customHeight="1" x14ac:dyDescent="0.2">
      <c r="B26" s="7" t="s">
        <v>1</v>
      </c>
      <c r="C26" s="8" t="s">
        <v>51</v>
      </c>
      <c r="D26" s="7" t="s">
        <v>44</v>
      </c>
      <c r="E26" s="9" t="s">
        <v>45</v>
      </c>
      <c r="F26" s="7" t="s">
        <v>113</v>
      </c>
      <c r="G26" s="65" t="s">
        <v>156</v>
      </c>
      <c r="H26" s="11" t="s">
        <v>455</v>
      </c>
    </row>
    <row r="27" spans="2:8" s="5" customFormat="1" ht="45.75" customHeight="1" x14ac:dyDescent="0.2">
      <c r="B27" s="7" t="s">
        <v>1</v>
      </c>
      <c r="C27" s="8" t="s">
        <v>52</v>
      </c>
      <c r="D27" s="7" t="s">
        <v>46</v>
      </c>
      <c r="E27" s="9" t="s">
        <v>294</v>
      </c>
      <c r="F27" s="7" t="s">
        <v>113</v>
      </c>
      <c r="G27" s="65" t="s">
        <v>156</v>
      </c>
      <c r="H27" s="11" t="s">
        <v>454</v>
      </c>
    </row>
    <row r="28" spans="2:8" s="5" customFormat="1" ht="36" customHeight="1" x14ac:dyDescent="0.2">
      <c r="B28" s="7" t="s">
        <v>1</v>
      </c>
      <c r="C28" s="8" t="s">
        <v>53</v>
      </c>
      <c r="D28" s="7" t="s">
        <v>49</v>
      </c>
      <c r="E28" s="9" t="s">
        <v>47</v>
      </c>
      <c r="F28" s="7" t="s">
        <v>113</v>
      </c>
      <c r="G28" s="65" t="s">
        <v>156</v>
      </c>
      <c r="H28" s="11" t="s">
        <v>456</v>
      </c>
    </row>
    <row r="29" spans="2:8" s="5" customFormat="1" ht="46.5" customHeight="1" x14ac:dyDescent="0.2">
      <c r="B29" s="7" t="s">
        <v>1</v>
      </c>
      <c r="C29" s="8" t="s">
        <v>54</v>
      </c>
      <c r="D29" s="7" t="s">
        <v>50</v>
      </c>
      <c r="E29" s="9" t="s">
        <v>312</v>
      </c>
      <c r="F29" s="7" t="s">
        <v>113</v>
      </c>
      <c r="G29" s="65" t="s">
        <v>120</v>
      </c>
      <c r="H29" s="11" t="s">
        <v>457</v>
      </c>
    </row>
    <row r="30" spans="2:8" s="5" customFormat="1" ht="46.5" customHeight="1" x14ac:dyDescent="0.2">
      <c r="B30" s="7" t="s">
        <v>1</v>
      </c>
      <c r="C30" s="8" t="s">
        <v>69</v>
      </c>
      <c r="D30" s="7" t="s">
        <v>286</v>
      </c>
      <c r="E30" s="9" t="s">
        <v>55</v>
      </c>
      <c r="F30" s="7" t="s">
        <v>113</v>
      </c>
      <c r="G30" s="65" t="s">
        <v>133</v>
      </c>
      <c r="H30" s="11" t="s">
        <v>432</v>
      </c>
    </row>
    <row r="31" spans="2:8" s="5" customFormat="1" ht="46.5" customHeight="1" x14ac:dyDescent="0.2">
      <c r="B31" s="7" t="s">
        <v>1</v>
      </c>
      <c r="C31" s="8" t="s">
        <v>70</v>
      </c>
      <c r="D31" s="7" t="s">
        <v>57</v>
      </c>
      <c r="E31" s="9" t="s">
        <v>275</v>
      </c>
      <c r="F31" s="7" t="s">
        <v>113</v>
      </c>
      <c r="G31" s="65" t="s">
        <v>133</v>
      </c>
      <c r="H31" s="11" t="s">
        <v>433</v>
      </c>
    </row>
    <row r="32" spans="2:8" s="5" customFormat="1" ht="53.25" customHeight="1" x14ac:dyDescent="0.2">
      <c r="B32" s="7" t="s">
        <v>1</v>
      </c>
      <c r="C32" s="8" t="s">
        <v>71</v>
      </c>
      <c r="D32" s="7" t="s">
        <v>58</v>
      </c>
      <c r="E32" s="9" t="s">
        <v>276</v>
      </c>
      <c r="F32" s="7" t="s">
        <v>113</v>
      </c>
      <c r="G32" s="65" t="s">
        <v>156</v>
      </c>
      <c r="H32" s="11" t="s">
        <v>460</v>
      </c>
    </row>
    <row r="33" spans="2:8" s="5" customFormat="1" ht="36" customHeight="1" x14ac:dyDescent="0.2">
      <c r="B33" s="7" t="s">
        <v>1</v>
      </c>
      <c r="C33" s="8" t="s">
        <v>72</v>
      </c>
      <c r="D33" s="7" t="s">
        <v>59</v>
      </c>
      <c r="E33" s="9" t="s">
        <v>56</v>
      </c>
      <c r="F33" s="7" t="s">
        <v>113</v>
      </c>
      <c r="G33" s="65" t="s">
        <v>133</v>
      </c>
      <c r="H33" s="11" t="s">
        <v>434</v>
      </c>
    </row>
    <row r="34" spans="2:8" s="5" customFormat="1" ht="43.5" customHeight="1" x14ac:dyDescent="0.2">
      <c r="B34" s="7" t="s">
        <v>1</v>
      </c>
      <c r="C34" s="8" t="s">
        <v>73</v>
      </c>
      <c r="D34" s="7" t="s">
        <v>61</v>
      </c>
      <c r="E34" s="9" t="s">
        <v>295</v>
      </c>
      <c r="F34" s="7" t="s">
        <v>113</v>
      </c>
      <c r="G34" s="65" t="s">
        <v>133</v>
      </c>
      <c r="H34" s="11" t="s">
        <v>461</v>
      </c>
    </row>
    <row r="35" spans="2:8" s="5" customFormat="1" ht="40.5" customHeight="1" x14ac:dyDescent="0.2">
      <c r="B35" s="7" t="s">
        <v>1</v>
      </c>
      <c r="C35" s="8" t="s">
        <v>74</v>
      </c>
      <c r="D35" s="7" t="s">
        <v>62</v>
      </c>
      <c r="E35" s="9" t="s">
        <v>63</v>
      </c>
      <c r="F35" s="7" t="s">
        <v>113</v>
      </c>
      <c r="G35" s="65" t="s">
        <v>133</v>
      </c>
      <c r="H35" s="11" t="s">
        <v>462</v>
      </c>
    </row>
    <row r="36" spans="2:8" s="5" customFormat="1" ht="36" customHeight="1" x14ac:dyDescent="0.2">
      <c r="B36" s="7" t="s">
        <v>1</v>
      </c>
      <c r="C36" s="8" t="s">
        <v>75</v>
      </c>
      <c r="D36" s="7" t="s">
        <v>64</v>
      </c>
      <c r="E36" s="9" t="s">
        <v>65</v>
      </c>
      <c r="F36" s="7" t="s">
        <v>113</v>
      </c>
      <c r="G36" s="65" t="s">
        <v>156</v>
      </c>
      <c r="H36" s="11" t="s">
        <v>463</v>
      </c>
    </row>
    <row r="37" spans="2:8" s="5" customFormat="1" ht="49.5" customHeight="1" x14ac:dyDescent="0.2">
      <c r="B37" s="7" t="s">
        <v>1</v>
      </c>
      <c r="C37" s="8" t="s">
        <v>76</v>
      </c>
      <c r="D37" s="7" t="s">
        <v>66</v>
      </c>
      <c r="E37" s="9" t="s">
        <v>296</v>
      </c>
      <c r="F37" s="7" t="s">
        <v>113</v>
      </c>
      <c r="G37" s="65" t="s">
        <v>133</v>
      </c>
      <c r="H37" s="11" t="s">
        <v>464</v>
      </c>
    </row>
    <row r="38" spans="2:8" s="5" customFormat="1" ht="41.25" customHeight="1" x14ac:dyDescent="0.2">
      <c r="B38" s="7" t="s">
        <v>1</v>
      </c>
      <c r="C38" s="8" t="s">
        <v>77</v>
      </c>
      <c r="D38" s="7" t="s">
        <v>67</v>
      </c>
      <c r="E38" s="9" t="s">
        <v>68</v>
      </c>
      <c r="F38" s="7" t="s">
        <v>113</v>
      </c>
      <c r="G38" s="65" t="s">
        <v>133</v>
      </c>
      <c r="H38" s="11" t="s">
        <v>435</v>
      </c>
    </row>
    <row r="39" spans="2:8" s="5" customFormat="1" ht="42.75" customHeight="1" x14ac:dyDescent="0.2">
      <c r="B39" s="7" t="s">
        <v>330</v>
      </c>
      <c r="C39" s="8" t="s">
        <v>359</v>
      </c>
      <c r="D39" s="7" t="s">
        <v>274</v>
      </c>
      <c r="E39" s="9" t="s">
        <v>273</v>
      </c>
      <c r="F39" s="7" t="s">
        <v>114</v>
      </c>
      <c r="G39" s="65" t="s">
        <v>133</v>
      </c>
      <c r="H39" s="11" t="s">
        <v>436</v>
      </c>
    </row>
    <row r="40" spans="2:8" s="5" customFormat="1" ht="42.75" customHeight="1" x14ac:dyDescent="0.2">
      <c r="B40" s="7" t="s">
        <v>330</v>
      </c>
      <c r="C40" s="8" t="s">
        <v>360</v>
      </c>
      <c r="D40" s="7" t="s">
        <v>79</v>
      </c>
      <c r="E40" s="9" t="s">
        <v>297</v>
      </c>
      <c r="F40" s="7" t="s">
        <v>114</v>
      </c>
      <c r="G40" s="65" t="s">
        <v>133</v>
      </c>
      <c r="H40" s="11" t="s">
        <v>437</v>
      </c>
    </row>
    <row r="41" spans="2:8" s="5" customFormat="1" ht="42.75" customHeight="1" x14ac:dyDescent="0.2">
      <c r="B41" s="7" t="s">
        <v>330</v>
      </c>
      <c r="C41" s="8" t="s">
        <v>361</v>
      </c>
      <c r="D41" s="7" t="s">
        <v>81</v>
      </c>
      <c r="E41" s="9" t="s">
        <v>292</v>
      </c>
      <c r="F41" s="7" t="s">
        <v>114</v>
      </c>
      <c r="G41" s="65" t="s">
        <v>133</v>
      </c>
      <c r="H41" s="11" t="s">
        <v>438</v>
      </c>
    </row>
    <row r="42" spans="2:8" s="5" customFormat="1" ht="42.75" customHeight="1" x14ac:dyDescent="0.2">
      <c r="B42" s="7" t="s">
        <v>330</v>
      </c>
      <c r="C42" s="8" t="s">
        <v>362</v>
      </c>
      <c r="D42" s="7" t="s">
        <v>82</v>
      </c>
      <c r="E42" s="9" t="s">
        <v>80</v>
      </c>
      <c r="F42" s="7" t="s">
        <v>114</v>
      </c>
      <c r="G42" s="65" t="s">
        <v>133</v>
      </c>
      <c r="H42" s="11" t="s">
        <v>439</v>
      </c>
    </row>
    <row r="43" spans="2:8" s="5" customFormat="1" ht="44.25" customHeight="1" x14ac:dyDescent="0.2">
      <c r="B43" s="7" t="s">
        <v>83</v>
      </c>
      <c r="C43" s="8" t="s">
        <v>84</v>
      </c>
      <c r="D43" s="7" t="s">
        <v>230</v>
      </c>
      <c r="E43" s="9" t="s">
        <v>298</v>
      </c>
      <c r="F43" s="7" t="s">
        <v>115</v>
      </c>
      <c r="G43" s="65" t="s">
        <v>133</v>
      </c>
      <c r="H43" s="11" t="s">
        <v>465</v>
      </c>
    </row>
    <row r="44" spans="2:8" s="5" customFormat="1" ht="42.75" customHeight="1" x14ac:dyDescent="0.2">
      <c r="B44" s="7" t="s">
        <v>83</v>
      </c>
      <c r="C44" s="8" t="s">
        <v>87</v>
      </c>
      <c r="D44" s="7" t="s">
        <v>2</v>
      </c>
      <c r="E44" s="9" t="s">
        <v>293</v>
      </c>
      <c r="F44" s="7" t="s">
        <v>115</v>
      </c>
      <c r="G44" s="65" t="s">
        <v>133</v>
      </c>
      <c r="H44" s="11" t="s">
        <v>466</v>
      </c>
    </row>
    <row r="45" spans="2:8" s="5" customFormat="1" ht="38.25" customHeight="1" x14ac:dyDescent="0.2">
      <c r="B45" s="7" t="s">
        <v>83</v>
      </c>
      <c r="C45" s="8" t="s">
        <v>404</v>
      </c>
      <c r="D45" s="7" t="s">
        <v>85</v>
      </c>
      <c r="E45" s="9" t="s">
        <v>86</v>
      </c>
      <c r="F45" s="7" t="s">
        <v>115</v>
      </c>
      <c r="G45" s="65" t="s">
        <v>156</v>
      </c>
      <c r="H45" s="11" t="s">
        <v>467</v>
      </c>
    </row>
    <row r="49" spans="6:6" x14ac:dyDescent="0.2">
      <c r="F49" s="3"/>
    </row>
  </sheetData>
  <sheetProtection algorithmName="SHA-512" hashValue="zPIxcCpcm1VCB3758T91OGv5ROeH5RTtNz7WpX2ieZ1k/Y+pq23K6JVzTJR1/m1ochPB0ZzbpC8bDZuY3D3BgQ==" saltValue="M/0T90Syo4T0EI1/viF/kg==" spinCount="100000" sheet="1" objects="1" scenarios="1"/>
  <protectedRanges>
    <protectedRange sqref="G1:H1048576" name="Range1"/>
  </protectedRanges>
  <phoneticPr fontId="2" type="noConversion"/>
  <conditionalFormatting sqref="G3:G486">
    <cfRule type="beginsWith" dxfId="3" priority="1" operator="beginsWith" text="Not Applicable">
      <formula>LEFT(G3,LEN("Not Applicable"))="Not Applicable"</formula>
    </cfRule>
    <cfRule type="beginsWith" dxfId="2" priority="2" operator="beginsWith" text="Partially Effective">
      <formula>LEFT(G3,LEN("Partially Effective"))="Partially Effective"</formula>
    </cfRule>
    <cfRule type="containsText" dxfId="1" priority="3" operator="containsText" text="Ineffective">
      <formula>NOT(ISERROR(SEARCH("Ineffective",G3)))</formula>
    </cfRule>
    <cfRule type="beginsWith" dxfId="0" priority="4" operator="beginsWith" text="Effective">
      <formula>LEFT(G3,LEN("Effective"))="Effective"</formula>
    </cfRule>
  </conditionalFormatting>
  <dataValidations count="1">
    <dataValidation type="list" allowBlank="1" showInputMessage="1" showErrorMessage="1" sqref="H61:H1048576 G1:G1048576" xr:uid="{B97B79B2-986A-4DD1-AF5A-56FAD5FF0782}">
      <formula1>"Effective, Ineffective, Not Applicable, Partially Effective"</formula1>
    </dataValidation>
  </dataValidations>
  <pageMargins left="0.7" right="0.7" top="0.75" bottom="0.75" header="0.3" footer="0.3"/>
  <pageSetup paperSize="8" orientation="landscape" r:id="rId1"/>
  <headerFooter scaleWithDoc="0" alignWithMargins="0"/>
  <rowBreaks count="1" manualBreakCount="1">
    <brk id="36" max="16383" man="1"/>
  </rowBreaks>
  <colBreaks count="1" manualBreakCount="1">
    <brk id="72" max="1048575" man="1"/>
  </col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4C9D2-9947-46A8-BE4C-118FB6C77151}">
  <sheetPr codeName="Sheet7"/>
  <dimension ref="B1:F52"/>
  <sheetViews>
    <sheetView showGridLines="0" topLeftCell="A5" workbookViewId="0">
      <selection activeCell="F48" sqref="F48"/>
    </sheetView>
  </sheetViews>
  <sheetFormatPr baseColWidth="10" defaultColWidth="8.83203125" defaultRowHeight="15" x14ac:dyDescent="0.2"/>
  <cols>
    <col min="2" max="2" width="28.1640625" style="4" hidden="1" customWidth="1"/>
    <col min="3" max="3" width="51.6640625" hidden="1" customWidth="1"/>
    <col min="4" max="4" width="21.6640625" style="1" customWidth="1"/>
    <col min="5" max="5" width="29.5" style="1" customWidth="1"/>
    <col min="6" max="6" width="54.83203125" style="1" customWidth="1"/>
  </cols>
  <sheetData>
    <row r="1" spans="2:6" ht="16" thickBot="1" x14ac:dyDescent="0.25"/>
    <row r="2" spans="2:6" ht="17" x14ac:dyDescent="0.2">
      <c r="B2" s="18" t="s">
        <v>9</v>
      </c>
      <c r="C2" s="19" t="s">
        <v>10</v>
      </c>
      <c r="D2" s="19" t="s">
        <v>240</v>
      </c>
      <c r="E2" s="19" t="s">
        <v>239</v>
      </c>
      <c r="F2" s="20" t="s">
        <v>118</v>
      </c>
    </row>
    <row r="3" spans="2:6" s="5" customFormat="1" ht="208" x14ac:dyDescent="0.2">
      <c r="B3" s="21" t="s">
        <v>5</v>
      </c>
      <c r="C3" s="9" t="s">
        <v>123</v>
      </c>
      <c r="D3" s="21" t="s">
        <v>5</v>
      </c>
      <c r="E3" s="9" t="s">
        <v>299</v>
      </c>
      <c r="F3" s="16" t="s">
        <v>313</v>
      </c>
    </row>
    <row r="4" spans="2:6" s="5" customFormat="1" ht="176" x14ac:dyDescent="0.2">
      <c r="B4" s="21" t="s">
        <v>12</v>
      </c>
      <c r="C4" s="9" t="s">
        <v>124</v>
      </c>
      <c r="D4" s="21" t="s">
        <v>12</v>
      </c>
      <c r="E4" s="9" t="s">
        <v>119</v>
      </c>
      <c r="F4" s="16" t="s">
        <v>314</v>
      </c>
    </row>
    <row r="5" spans="2:6" s="5" customFormat="1" ht="144" x14ac:dyDescent="0.2">
      <c r="B5" s="21" t="s">
        <v>13</v>
      </c>
      <c r="C5" s="9" t="s">
        <v>125</v>
      </c>
      <c r="D5" s="21" t="s">
        <v>13</v>
      </c>
      <c r="E5" s="9" t="s">
        <v>129</v>
      </c>
      <c r="F5" s="16" t="s">
        <v>315</v>
      </c>
    </row>
    <row r="6" spans="2:6" s="5" customFormat="1" ht="176" x14ac:dyDescent="0.2">
      <c r="B6" s="21" t="s">
        <v>14</v>
      </c>
      <c r="C6" s="9" t="s">
        <v>126</v>
      </c>
      <c r="D6" s="21" t="s">
        <v>14</v>
      </c>
      <c r="E6" s="9" t="s">
        <v>236</v>
      </c>
      <c r="F6" s="16" t="s">
        <v>316</v>
      </c>
    </row>
    <row r="7" spans="2:6" s="5" customFormat="1" ht="224" x14ac:dyDescent="0.2">
      <c r="B7" s="21" t="s">
        <v>6</v>
      </c>
      <c r="C7" s="9" t="s">
        <v>127</v>
      </c>
      <c r="D7" s="21" t="s">
        <v>6</v>
      </c>
      <c r="E7" s="9" t="s">
        <v>237</v>
      </c>
      <c r="F7" s="16" t="s">
        <v>322</v>
      </c>
    </row>
    <row r="8" spans="2:6" s="5" customFormat="1" ht="240" x14ac:dyDescent="0.2">
      <c r="B8" s="21" t="s">
        <v>7</v>
      </c>
      <c r="C8" s="9" t="s">
        <v>11</v>
      </c>
      <c r="D8" s="21" t="s">
        <v>7</v>
      </c>
      <c r="E8" s="9" t="s">
        <v>238</v>
      </c>
      <c r="F8" s="16" t="s">
        <v>321</v>
      </c>
    </row>
    <row r="9" spans="2:6" s="5" customFormat="1" ht="176" x14ac:dyDescent="0.2">
      <c r="B9" s="21" t="s">
        <v>95</v>
      </c>
      <c r="C9" s="9" t="s">
        <v>277</v>
      </c>
      <c r="D9" s="21" t="s">
        <v>95</v>
      </c>
      <c r="E9" s="9" t="s">
        <v>301</v>
      </c>
      <c r="F9" s="16" t="s">
        <v>320</v>
      </c>
    </row>
    <row r="10" spans="2:6" s="5" customFormat="1" ht="96" x14ac:dyDescent="0.2">
      <c r="B10" s="21" t="s">
        <v>96</v>
      </c>
      <c r="C10" s="9" t="s">
        <v>278</v>
      </c>
      <c r="D10" s="21" t="s">
        <v>96</v>
      </c>
      <c r="E10" s="9" t="s">
        <v>243</v>
      </c>
      <c r="F10" s="16" t="s">
        <v>302</v>
      </c>
    </row>
    <row r="11" spans="2:6" s="5" customFormat="1" ht="176" x14ac:dyDescent="0.2">
      <c r="B11" s="21" t="s">
        <v>97</v>
      </c>
      <c r="C11" s="9" t="s">
        <v>279</v>
      </c>
      <c r="D11" s="21" t="s">
        <v>97</v>
      </c>
      <c r="E11" s="9" t="s">
        <v>245</v>
      </c>
      <c r="F11" s="16" t="s">
        <v>340</v>
      </c>
    </row>
    <row r="12" spans="2:6" s="5" customFormat="1" ht="113.25" customHeight="1" x14ac:dyDescent="0.2">
      <c r="B12" s="21" t="s">
        <v>98</v>
      </c>
      <c r="C12" s="9" t="s">
        <v>132</v>
      </c>
      <c r="D12" s="21" t="s">
        <v>98</v>
      </c>
      <c r="E12" s="9" t="s">
        <v>244</v>
      </c>
      <c r="F12" s="16" t="s">
        <v>300</v>
      </c>
    </row>
    <row r="13" spans="2:6" s="5" customFormat="1" ht="64" x14ac:dyDescent="0.2">
      <c r="B13" s="21" t="s">
        <v>99</v>
      </c>
      <c r="C13" s="9" t="s">
        <v>100</v>
      </c>
      <c r="D13" s="21" t="s">
        <v>99</v>
      </c>
      <c r="E13" s="9" t="s">
        <v>242</v>
      </c>
      <c r="F13" s="16" t="s">
        <v>319</v>
      </c>
    </row>
    <row r="14" spans="2:6" s="5" customFormat="1" ht="160" x14ac:dyDescent="0.2">
      <c r="B14" s="21" t="s">
        <v>18</v>
      </c>
      <c r="C14" s="9" t="s">
        <v>19</v>
      </c>
      <c r="D14" s="21" t="s">
        <v>18</v>
      </c>
      <c r="E14" s="9" t="s">
        <v>241</v>
      </c>
      <c r="F14" s="16" t="s">
        <v>339</v>
      </c>
    </row>
    <row r="15" spans="2:6" s="5" customFormat="1" ht="224" x14ac:dyDescent="0.2">
      <c r="B15" s="21" t="s">
        <v>20</v>
      </c>
      <c r="C15" s="9" t="s">
        <v>280</v>
      </c>
      <c r="D15" s="21" t="s">
        <v>20</v>
      </c>
      <c r="E15" s="9" t="s">
        <v>247</v>
      </c>
      <c r="F15" s="16" t="s">
        <v>407</v>
      </c>
    </row>
    <row r="16" spans="2:6" s="5" customFormat="1" ht="144" x14ac:dyDescent="0.2">
      <c r="B16" s="21" t="s">
        <v>22</v>
      </c>
      <c r="C16" s="9" t="s">
        <v>23</v>
      </c>
      <c r="D16" s="21" t="s">
        <v>22</v>
      </c>
      <c r="E16" s="9" t="s">
        <v>246</v>
      </c>
      <c r="F16" s="16" t="s">
        <v>408</v>
      </c>
    </row>
    <row r="17" spans="2:6" s="5" customFormat="1" ht="192" x14ac:dyDescent="0.2">
      <c r="B17" s="21" t="s">
        <v>21</v>
      </c>
      <c r="C17" s="9" t="s">
        <v>281</v>
      </c>
      <c r="D17" s="21" t="s">
        <v>21</v>
      </c>
      <c r="E17" s="9" t="s">
        <v>271</v>
      </c>
      <c r="F17" s="16" t="s">
        <v>338</v>
      </c>
    </row>
    <row r="18" spans="2:6" s="5" customFormat="1" ht="128" x14ac:dyDescent="0.2">
      <c r="B18" s="21" t="s">
        <v>25</v>
      </c>
      <c r="C18" s="9" t="s">
        <v>24</v>
      </c>
      <c r="D18" s="21" t="s">
        <v>25</v>
      </c>
      <c r="E18" s="9" t="s">
        <v>272</v>
      </c>
      <c r="F18" s="16" t="s">
        <v>386</v>
      </c>
    </row>
    <row r="19" spans="2:6" s="5" customFormat="1" ht="192" x14ac:dyDescent="0.2">
      <c r="B19" s="21" t="s">
        <v>26</v>
      </c>
      <c r="C19" s="9" t="s">
        <v>27</v>
      </c>
      <c r="D19" s="21" t="s">
        <v>26</v>
      </c>
      <c r="E19" s="9" t="s">
        <v>251</v>
      </c>
      <c r="F19" s="16" t="s">
        <v>409</v>
      </c>
    </row>
    <row r="20" spans="2:6" s="5" customFormat="1" ht="192" x14ac:dyDescent="0.2">
      <c r="B20" s="21" t="s">
        <v>103</v>
      </c>
      <c r="C20" s="9" t="s">
        <v>105</v>
      </c>
      <c r="D20" s="21" t="s">
        <v>103</v>
      </c>
      <c r="E20" s="9" t="s">
        <v>250</v>
      </c>
      <c r="F20" s="16" t="s">
        <v>410</v>
      </c>
    </row>
    <row r="21" spans="2:6" s="5" customFormat="1" ht="288" x14ac:dyDescent="0.2">
      <c r="B21" s="21" t="s">
        <v>104</v>
      </c>
      <c r="C21" s="9" t="s">
        <v>106</v>
      </c>
      <c r="D21" s="21" t="s">
        <v>104</v>
      </c>
      <c r="E21" s="9" t="s">
        <v>249</v>
      </c>
      <c r="F21" s="16" t="s">
        <v>317</v>
      </c>
    </row>
    <row r="22" spans="2:6" s="5" customFormat="1" ht="272" x14ac:dyDescent="0.2">
      <c r="B22" s="21" t="s">
        <v>34</v>
      </c>
      <c r="C22" s="9" t="s">
        <v>225</v>
      </c>
      <c r="D22" s="21" t="s">
        <v>34</v>
      </c>
      <c r="E22" s="9" t="s">
        <v>226</v>
      </c>
      <c r="F22" s="16" t="s">
        <v>318</v>
      </c>
    </row>
    <row r="23" spans="2:6" s="5" customFormat="1" ht="96" x14ac:dyDescent="0.2">
      <c r="B23" s="21" t="s">
        <v>122</v>
      </c>
      <c r="C23" s="9" t="s">
        <v>253</v>
      </c>
      <c r="D23" s="21" t="s">
        <v>122</v>
      </c>
      <c r="E23" s="9" t="s">
        <v>254</v>
      </c>
      <c r="F23" s="16" t="s">
        <v>363</v>
      </c>
    </row>
    <row r="24" spans="2:6" s="5" customFormat="1" ht="80" x14ac:dyDescent="0.2">
      <c r="B24" s="21" t="s">
        <v>36</v>
      </c>
      <c r="C24" s="9" t="s">
        <v>35</v>
      </c>
      <c r="D24" s="21" t="s">
        <v>36</v>
      </c>
      <c r="E24" s="9" t="s">
        <v>248</v>
      </c>
      <c r="F24" s="16" t="s">
        <v>364</v>
      </c>
    </row>
    <row r="25" spans="2:6" s="5" customFormat="1" ht="176" x14ac:dyDescent="0.2">
      <c r="B25" s="21" t="s">
        <v>38</v>
      </c>
      <c r="C25" s="9" t="s">
        <v>282</v>
      </c>
      <c r="D25" s="21" t="s">
        <v>38</v>
      </c>
      <c r="E25" s="16" t="s">
        <v>252</v>
      </c>
      <c r="F25" s="16" t="s">
        <v>283</v>
      </c>
    </row>
    <row r="26" spans="2:6" s="5" customFormat="1" ht="32" x14ac:dyDescent="0.2">
      <c r="B26" s="21" t="s">
        <v>39</v>
      </c>
      <c r="C26" s="9" t="s">
        <v>37</v>
      </c>
      <c r="D26" s="38" t="s">
        <v>367</v>
      </c>
      <c r="E26" s="38" t="s">
        <v>367</v>
      </c>
      <c r="F26" s="38" t="s">
        <v>367</v>
      </c>
    </row>
    <row r="27" spans="2:6" s="5" customFormat="1" ht="128" x14ac:dyDescent="0.2">
      <c r="B27" s="21" t="s">
        <v>44</v>
      </c>
      <c r="C27" s="9" t="s">
        <v>45</v>
      </c>
      <c r="D27" s="21" t="s">
        <v>44</v>
      </c>
      <c r="E27" s="9" t="s">
        <v>284</v>
      </c>
      <c r="F27" s="16" t="s">
        <v>227</v>
      </c>
    </row>
    <row r="28" spans="2:6" s="5" customFormat="1" ht="176" x14ac:dyDescent="0.2">
      <c r="B28" s="21" t="s">
        <v>46</v>
      </c>
      <c r="C28" s="9" t="s">
        <v>291</v>
      </c>
      <c r="D28" s="21" t="s">
        <v>46</v>
      </c>
      <c r="E28" s="37" t="s">
        <v>255</v>
      </c>
      <c r="F28" s="16" t="s">
        <v>228</v>
      </c>
    </row>
    <row r="29" spans="2:6" s="5" customFormat="1" ht="144" x14ac:dyDescent="0.2">
      <c r="B29" s="21" t="s">
        <v>49</v>
      </c>
      <c r="C29" s="9" t="s">
        <v>47</v>
      </c>
      <c r="D29" s="21" t="s">
        <v>49</v>
      </c>
      <c r="E29" s="9" t="s">
        <v>256</v>
      </c>
      <c r="F29" s="16" t="s">
        <v>329</v>
      </c>
    </row>
    <row r="30" spans="2:6" s="5" customFormat="1" ht="128" x14ac:dyDescent="0.2">
      <c r="B30" s="21" t="s">
        <v>50</v>
      </c>
      <c r="C30" s="9" t="s">
        <v>48</v>
      </c>
      <c r="D30" s="21" t="s">
        <v>50</v>
      </c>
      <c r="E30" s="9" t="s">
        <v>285</v>
      </c>
      <c r="F30" s="16" t="s">
        <v>328</v>
      </c>
    </row>
    <row r="31" spans="2:6" s="5" customFormat="1" ht="96" x14ac:dyDescent="0.2">
      <c r="B31" s="21" t="s">
        <v>286</v>
      </c>
      <c r="C31" s="9" t="s">
        <v>130</v>
      </c>
      <c r="D31" s="21" t="s">
        <v>286</v>
      </c>
      <c r="E31" s="9" t="s">
        <v>257</v>
      </c>
      <c r="F31" s="16" t="s">
        <v>234</v>
      </c>
    </row>
    <row r="32" spans="2:6" s="5" customFormat="1" ht="128" x14ac:dyDescent="0.2">
      <c r="B32" s="21" t="s">
        <v>57</v>
      </c>
      <c r="C32" s="9" t="s">
        <v>128</v>
      </c>
      <c r="D32" s="21" t="s">
        <v>57</v>
      </c>
      <c r="E32" s="9" t="s">
        <v>258</v>
      </c>
      <c r="F32" s="16" t="s">
        <v>327</v>
      </c>
    </row>
    <row r="33" spans="2:6" s="5" customFormat="1" ht="144" x14ac:dyDescent="0.2">
      <c r="B33" s="21" t="s">
        <v>58</v>
      </c>
      <c r="C33" s="9" t="s">
        <v>235</v>
      </c>
      <c r="D33" s="21" t="s">
        <v>58</v>
      </c>
      <c r="E33" s="9" t="s">
        <v>259</v>
      </c>
      <c r="F33" s="16" t="s">
        <v>341</v>
      </c>
    </row>
    <row r="34" spans="2:6" s="5" customFormat="1" ht="128" x14ac:dyDescent="0.2">
      <c r="B34" s="21" t="s">
        <v>59</v>
      </c>
      <c r="C34" s="9" t="s">
        <v>56</v>
      </c>
      <c r="D34" s="21" t="s">
        <v>59</v>
      </c>
      <c r="E34" s="9" t="s">
        <v>146</v>
      </c>
      <c r="F34" s="16" t="s">
        <v>387</v>
      </c>
    </row>
    <row r="35" spans="2:6" s="5" customFormat="1" ht="160" x14ac:dyDescent="0.2">
      <c r="B35" s="21" t="s">
        <v>61</v>
      </c>
      <c r="C35" s="9" t="s">
        <v>60</v>
      </c>
      <c r="D35" s="21" t="s">
        <v>61</v>
      </c>
      <c r="E35" s="9" t="s">
        <v>287</v>
      </c>
      <c r="F35" s="16" t="s">
        <v>326</v>
      </c>
    </row>
    <row r="36" spans="2:6" s="5" customFormat="1" ht="80" x14ac:dyDescent="0.2">
      <c r="B36" s="21" t="s">
        <v>62</v>
      </c>
      <c r="C36" s="9" t="s">
        <v>63</v>
      </c>
      <c r="D36" s="21" t="s">
        <v>62</v>
      </c>
      <c r="E36" s="9" t="s">
        <v>260</v>
      </c>
      <c r="F36" s="16" t="s">
        <v>325</v>
      </c>
    </row>
    <row r="37" spans="2:6" s="5" customFormat="1" ht="128" x14ac:dyDescent="0.2">
      <c r="B37" s="21" t="s">
        <v>64</v>
      </c>
      <c r="C37" s="9" t="s">
        <v>65</v>
      </c>
      <c r="D37" s="21" t="s">
        <v>64</v>
      </c>
      <c r="E37" s="9" t="s">
        <v>261</v>
      </c>
      <c r="F37" s="16" t="s">
        <v>288</v>
      </c>
    </row>
    <row r="38" spans="2:6" s="5" customFormat="1" ht="112" x14ac:dyDescent="0.2">
      <c r="B38" s="21" t="s">
        <v>66</v>
      </c>
      <c r="C38" s="9" t="s">
        <v>232</v>
      </c>
      <c r="D38" s="21" t="s">
        <v>66</v>
      </c>
      <c r="E38" s="9" t="s">
        <v>262</v>
      </c>
      <c r="F38" s="16" t="s">
        <v>324</v>
      </c>
    </row>
    <row r="39" spans="2:6" s="5" customFormat="1" ht="112" x14ac:dyDescent="0.2">
      <c r="B39" s="21" t="s">
        <v>67</v>
      </c>
      <c r="C39" s="9" t="s">
        <v>68</v>
      </c>
      <c r="D39" s="21" t="s">
        <v>67</v>
      </c>
      <c r="E39" s="9" t="s">
        <v>263</v>
      </c>
      <c r="F39" s="16" t="s">
        <v>233</v>
      </c>
    </row>
    <row r="40" spans="2:6" s="5" customFormat="1" ht="208" x14ac:dyDescent="0.2">
      <c r="B40" s="21" t="s">
        <v>274</v>
      </c>
      <c r="C40" s="9" t="s">
        <v>273</v>
      </c>
      <c r="D40" s="21" t="s">
        <v>274</v>
      </c>
      <c r="E40" s="9" t="s">
        <v>264</v>
      </c>
      <c r="F40" s="16" t="s">
        <v>331</v>
      </c>
    </row>
    <row r="41" spans="2:6" s="5" customFormat="1" ht="144" x14ac:dyDescent="0.2">
      <c r="B41" s="21" t="s">
        <v>79</v>
      </c>
      <c r="C41" s="9" t="s">
        <v>231</v>
      </c>
      <c r="D41" s="21" t="s">
        <v>79</v>
      </c>
      <c r="E41" s="9" t="s">
        <v>265</v>
      </c>
      <c r="F41" s="16" t="s">
        <v>336</v>
      </c>
    </row>
    <row r="42" spans="2:6" s="5" customFormat="1" ht="144" x14ac:dyDescent="0.2">
      <c r="B42" s="21" t="s">
        <v>81</v>
      </c>
      <c r="C42" s="9" t="s">
        <v>289</v>
      </c>
      <c r="D42" s="21" t="s">
        <v>81</v>
      </c>
      <c r="E42" s="9" t="s">
        <v>266</v>
      </c>
      <c r="F42" s="16" t="s">
        <v>333</v>
      </c>
    </row>
    <row r="43" spans="2:6" s="5" customFormat="1" ht="144" x14ac:dyDescent="0.2">
      <c r="B43" s="21" t="s">
        <v>82</v>
      </c>
      <c r="C43" s="9" t="s">
        <v>131</v>
      </c>
      <c r="D43" s="21" t="s">
        <v>82</v>
      </c>
      <c r="E43" s="9" t="s">
        <v>267</v>
      </c>
      <c r="F43" s="16" t="s">
        <v>332</v>
      </c>
    </row>
    <row r="44" spans="2:6" s="5" customFormat="1" ht="224" x14ac:dyDescent="0.2">
      <c r="B44" s="21" t="s">
        <v>230</v>
      </c>
      <c r="C44" s="9" t="s">
        <v>229</v>
      </c>
      <c r="D44" s="21" t="s">
        <v>230</v>
      </c>
      <c r="E44" s="9" t="s">
        <v>268</v>
      </c>
      <c r="F44" s="36" t="s">
        <v>323</v>
      </c>
    </row>
    <row r="45" spans="2:6" s="5" customFormat="1" ht="144" x14ac:dyDescent="0.2">
      <c r="B45" s="21" t="s">
        <v>2</v>
      </c>
      <c r="C45" s="9" t="s">
        <v>290</v>
      </c>
      <c r="D45" s="21" t="s">
        <v>2</v>
      </c>
      <c r="E45" s="9" t="s">
        <v>269</v>
      </c>
      <c r="F45" s="36" t="s">
        <v>334</v>
      </c>
    </row>
    <row r="46" spans="2:6" s="5" customFormat="1" ht="81" thickBot="1" x14ac:dyDescent="0.25">
      <c r="B46" s="22" t="s">
        <v>85</v>
      </c>
      <c r="C46" s="23" t="s">
        <v>86</v>
      </c>
      <c r="D46" s="22" t="s">
        <v>85</v>
      </c>
      <c r="E46" s="23" t="s">
        <v>270</v>
      </c>
      <c r="F46" s="17" t="s">
        <v>335</v>
      </c>
    </row>
    <row r="47" spans="2:6" s="5" customFormat="1" x14ac:dyDescent="0.2">
      <c r="B47" s="4"/>
      <c r="D47" s="6"/>
      <c r="E47" s="6"/>
      <c r="F47" s="6"/>
    </row>
    <row r="48" spans="2:6" s="5" customFormat="1" x14ac:dyDescent="0.2">
      <c r="B48" s="4"/>
      <c r="D48" s="6"/>
      <c r="E48" s="6"/>
      <c r="F48" s="6"/>
    </row>
    <row r="49" spans="2:6" s="5" customFormat="1" x14ac:dyDescent="0.2">
      <c r="B49" s="4"/>
      <c r="D49" s="6"/>
      <c r="E49" s="6"/>
      <c r="F49" s="6"/>
    </row>
    <row r="50" spans="2:6" s="5" customFormat="1" x14ac:dyDescent="0.2">
      <c r="B50" s="4"/>
      <c r="D50" s="6"/>
      <c r="E50" s="6"/>
      <c r="F50" s="6"/>
    </row>
    <row r="51" spans="2:6" s="5" customFormat="1" x14ac:dyDescent="0.2">
      <c r="B51" s="4"/>
      <c r="D51" s="6"/>
      <c r="E51" s="6"/>
      <c r="F51" s="6"/>
    </row>
    <row r="52" spans="2:6" s="5" customFormat="1" x14ac:dyDescent="0.2">
      <c r="B52" s="4"/>
      <c r="D52" s="6"/>
      <c r="E52" s="6"/>
      <c r="F52" s="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51D8C-829F-4E04-AA3C-6C2F2DC98E46}">
  <sheetPr codeName="Sheet9"/>
  <dimension ref="B2:J82"/>
  <sheetViews>
    <sheetView topLeftCell="I1" zoomScaleNormal="100" workbookViewId="0">
      <selection activeCell="C16" sqref="C16"/>
    </sheetView>
  </sheetViews>
  <sheetFormatPr baseColWidth="10" defaultColWidth="8.83203125" defaultRowHeight="15" x14ac:dyDescent="0.2"/>
  <cols>
    <col min="2" max="2" width="15.1640625" bestFit="1" customWidth="1"/>
    <col min="5" max="5" width="22.33203125" customWidth="1"/>
    <col min="6" max="6" width="9.1640625" customWidth="1"/>
    <col min="7" max="7" width="7.83203125" bestFit="1" customWidth="1"/>
    <col min="8" max="8" width="9.5" bestFit="1" customWidth="1"/>
    <col min="9" max="9" width="15.5" bestFit="1" customWidth="1"/>
    <col min="10" max="10" width="13" bestFit="1" customWidth="1"/>
  </cols>
  <sheetData>
    <row r="2" spans="2:10" x14ac:dyDescent="0.2">
      <c r="B2" s="12" t="s">
        <v>141</v>
      </c>
      <c r="C2" s="12" t="s">
        <v>142</v>
      </c>
    </row>
    <row r="3" spans="2:10" x14ac:dyDescent="0.2">
      <c r="B3" s="12" t="s">
        <v>133</v>
      </c>
      <c r="C3" s="12">
        <f>COUNTIF(Assessment!G:G,Calculations!B3)</f>
        <v>25</v>
      </c>
    </row>
    <row r="4" spans="2:10" x14ac:dyDescent="0.2">
      <c r="B4" s="12" t="s">
        <v>121</v>
      </c>
      <c r="C4" s="12">
        <f>COUNTIF(Assessment!G:G,Calculations!B4)</f>
        <v>0</v>
      </c>
    </row>
    <row r="5" spans="2:10" x14ac:dyDescent="0.2">
      <c r="B5" s="12" t="s">
        <v>156</v>
      </c>
      <c r="C5" s="12">
        <f>COUNTIF(Assessment!G:G,Calculations!B5)</f>
        <v>16</v>
      </c>
    </row>
    <row r="6" spans="2:10" x14ac:dyDescent="0.2">
      <c r="B6" s="12" t="s">
        <v>120</v>
      </c>
      <c r="C6" s="12">
        <f>COUNTIF(Assessment!G:G,Calculations!B6)</f>
        <v>2</v>
      </c>
    </row>
    <row r="8" spans="2:10" x14ac:dyDescent="0.2">
      <c r="C8">
        <f>(C3*2+C5*1)/((SUM(C3:C6)-C6)*2)</f>
        <v>0.80487804878048785</v>
      </c>
    </row>
    <row r="9" spans="2:10" x14ac:dyDescent="0.2">
      <c r="B9" t="s">
        <v>144</v>
      </c>
      <c r="C9">
        <f>IFERROR((C3*2+C5*1)/((SUM(C3:C6)-C6)*2),"")</f>
        <v>0.80487804878048785</v>
      </c>
      <c r="E9" s="12" t="s">
        <v>143</v>
      </c>
      <c r="F9" s="12" t="s">
        <v>142</v>
      </c>
      <c r="G9" s="12" t="s">
        <v>133</v>
      </c>
      <c r="H9" s="12" t="s">
        <v>121</v>
      </c>
      <c r="I9" s="12" t="s">
        <v>156</v>
      </c>
      <c r="J9" s="12" t="s">
        <v>120</v>
      </c>
    </row>
    <row r="10" spans="2:10" ht="16" x14ac:dyDescent="0.2">
      <c r="E10" s="7" t="s">
        <v>4</v>
      </c>
      <c r="F10" s="7">
        <f>COUNTIF(Assessment!B:B,Calculations!E10)</f>
        <v>6</v>
      </c>
      <c r="G10" s="13">
        <f>COUNTIF(Assessment!$G$3:$G$8,Calculations!G9)</f>
        <v>3</v>
      </c>
      <c r="H10" s="13">
        <f>COUNTIF(Assessment!$G$3:$G$8,Calculations!H9)</f>
        <v>0</v>
      </c>
      <c r="I10" s="13">
        <f>COUNTIF(Assessment!$G$3:$G$8,Calculations!I9)</f>
        <v>3</v>
      </c>
      <c r="J10" s="13">
        <f>COUNTIF(Assessment!$G$3:$G$8,Calculations!J9)</f>
        <v>0</v>
      </c>
    </row>
    <row r="11" spans="2:10" ht="16" x14ac:dyDescent="0.2">
      <c r="C11">
        <f>IFERROR((ROUND(C9*100,2)), "")</f>
        <v>80.489999999999995</v>
      </c>
      <c r="E11" s="7" t="s">
        <v>89</v>
      </c>
      <c r="F11" s="7">
        <f>COUNTIF(Assessment!B:B,Calculations!E11)</f>
        <v>5</v>
      </c>
      <c r="G11" s="13">
        <f>COUNTIF(Assessment!$G$9:$G$13,Calculations!G9)</f>
        <v>4</v>
      </c>
      <c r="H11" s="13">
        <f>COUNTIF(Assessment!$G$9:$G$13,Calculations!H9)</f>
        <v>0</v>
      </c>
      <c r="I11" s="13">
        <f>COUNTIF(Assessment!$G$9:$G$13,Calculations!I9)</f>
        <v>0</v>
      </c>
      <c r="J11" s="13">
        <f>COUNTIF(Assessment!$G$9:$G$13,Calculations!J9)</f>
        <v>1</v>
      </c>
    </row>
    <row r="12" spans="2:10" ht="16" x14ac:dyDescent="0.2">
      <c r="C12" t="str">
        <f>_xlfn.CONCAT(C11, " out of 100")</f>
        <v>80.49 out of 100</v>
      </c>
      <c r="E12" s="7" t="s">
        <v>16</v>
      </c>
      <c r="F12" s="7">
        <f>COUNTIF(Assessment!B:B,Calculations!E12)</f>
        <v>8</v>
      </c>
      <c r="G12" s="13">
        <f>COUNTIF(Assessment!$G$14:$G$21,Calculations!G9)</f>
        <v>3</v>
      </c>
      <c r="H12" s="13">
        <f>COUNTIF(Assessment!$G$14:$G$21,Calculations!H9)</f>
        <v>0</v>
      </c>
      <c r="I12" s="13">
        <f>COUNTIF(Assessment!$G$14:$G$21,Calculations!I9)</f>
        <v>5</v>
      </c>
      <c r="J12" s="13">
        <f>COUNTIF(Assessment!$G$14:$G$21,Calculations!J9)</f>
        <v>0</v>
      </c>
    </row>
    <row r="13" spans="2:10" ht="16" x14ac:dyDescent="0.2">
      <c r="E13" s="7" t="s">
        <v>33</v>
      </c>
      <c r="F13" s="7">
        <f>COUNTIF(Assessment!B:B,Calculations!E13)</f>
        <v>4</v>
      </c>
      <c r="G13" s="13">
        <f>COUNTIF(Assessment!$G$22:$G$25,Calculations!G9)</f>
        <v>2</v>
      </c>
      <c r="H13" s="13">
        <f>COUNTIF(Assessment!$G$22:$G$25,Calculations!H9)</f>
        <v>0</v>
      </c>
      <c r="I13" s="13">
        <f>COUNTIF(Assessment!$G$22:$G$25,Calculations!I9)</f>
        <v>2</v>
      </c>
      <c r="J13" s="13">
        <f>COUNTIF(Assessment!$G$22:$G$25,Calculations!J9)</f>
        <v>0</v>
      </c>
    </row>
    <row r="14" spans="2:10" ht="16" x14ac:dyDescent="0.2">
      <c r="C14" t="s">
        <v>403</v>
      </c>
      <c r="E14" s="7" t="s">
        <v>1</v>
      </c>
      <c r="F14" s="7">
        <f>COUNTIF(Assessment!B:B,Calculations!E14)</f>
        <v>13</v>
      </c>
      <c r="G14" s="13">
        <f>COUNTIF(Assessment!$G$26:$G$38,Calculations!G9)</f>
        <v>7</v>
      </c>
      <c r="H14" s="13">
        <f>COUNTIF(Assessment!$G$26:$G$38,Calculations!H9)</f>
        <v>0</v>
      </c>
      <c r="I14" s="13">
        <f>COUNTIF(Assessment!$G$26:$G$38,Calculations!I9)</f>
        <v>5</v>
      </c>
      <c r="J14" s="13">
        <f>COUNTIF(Assessment!$G$26:$G$38,Calculations!J9)</f>
        <v>1</v>
      </c>
    </row>
    <row r="15" spans="2:10" ht="16" x14ac:dyDescent="0.2">
      <c r="E15" s="7" t="s">
        <v>0</v>
      </c>
      <c r="F15" s="7">
        <f>COUNTIF(Assessment!B:B,Calculations!E15)</f>
        <v>0</v>
      </c>
      <c r="G15" s="13">
        <f>COUNTIF(Assessment!$G$39:$G$42,Calculations!G9)</f>
        <v>4</v>
      </c>
      <c r="H15" s="13">
        <f>COUNTIF(Assessment!$G$39:$G$42,Calculations!H9)</f>
        <v>0</v>
      </c>
      <c r="I15" s="13">
        <f>COUNTIF(Assessment!$G$39:$G$42,Calculations!I9)</f>
        <v>0</v>
      </c>
      <c r="J15" s="13">
        <f>COUNTIF(Assessment!$G$39:$G$42,Calculations!J9)</f>
        <v>0</v>
      </c>
    </row>
    <row r="16" spans="2:10" ht="32" x14ac:dyDescent="0.2">
      <c r="C16" s="14" t="str">
        <f>IF(ISERROR(C8),"Controls are not Applicable", _xlfn.CONCAT(C14,C12))</f>
        <v>PbD Score: 80.49 out of 100</v>
      </c>
      <c r="E16" s="7" t="s">
        <v>83</v>
      </c>
      <c r="F16" s="7">
        <f>COUNTIF(Assessment!B:B,Calculations!E16)</f>
        <v>3</v>
      </c>
      <c r="G16" s="13">
        <f>COUNTIF(Assessment!$G$43:$G$45,Calculations!G9)</f>
        <v>2</v>
      </c>
      <c r="H16" s="13">
        <f>COUNTIF(Assessment!$G$43:$G$45,Calculations!H9)</f>
        <v>0</v>
      </c>
      <c r="I16" s="13">
        <f>COUNTIF(Assessment!$G$43:$G$45,Calculations!I9)</f>
        <v>1</v>
      </c>
      <c r="J16" s="13">
        <f>COUNTIF(Assessment!$G$43:$G$45,Calculations!J9)</f>
        <v>0</v>
      </c>
    </row>
    <row r="34" spans="5:6" x14ac:dyDescent="0.2">
      <c r="E34">
        <v>1</v>
      </c>
      <c r="F34" t="s">
        <v>157</v>
      </c>
    </row>
    <row r="35" spans="5:6" x14ac:dyDescent="0.2">
      <c r="E35">
        <v>2</v>
      </c>
      <c r="F35" t="s">
        <v>158</v>
      </c>
    </row>
    <row r="36" spans="5:6" x14ac:dyDescent="0.2">
      <c r="E36">
        <v>3</v>
      </c>
      <c r="F36" t="s">
        <v>159</v>
      </c>
    </row>
    <row r="37" spans="5:6" x14ac:dyDescent="0.2">
      <c r="E37">
        <v>4</v>
      </c>
      <c r="F37" t="s">
        <v>160</v>
      </c>
    </row>
    <row r="38" spans="5:6" x14ac:dyDescent="0.2">
      <c r="E38">
        <v>5</v>
      </c>
      <c r="F38" t="s">
        <v>161</v>
      </c>
    </row>
    <row r="39" spans="5:6" x14ac:dyDescent="0.2">
      <c r="E39">
        <v>6</v>
      </c>
      <c r="F39" t="s">
        <v>162</v>
      </c>
    </row>
    <row r="40" spans="5:6" x14ac:dyDescent="0.2">
      <c r="E40">
        <v>7</v>
      </c>
      <c r="F40" t="s">
        <v>163</v>
      </c>
    </row>
    <row r="41" spans="5:6" x14ac:dyDescent="0.2">
      <c r="E41">
        <v>8</v>
      </c>
      <c r="F41" t="s">
        <v>164</v>
      </c>
    </row>
    <row r="42" spans="5:6" x14ac:dyDescent="0.2">
      <c r="E42">
        <v>9</v>
      </c>
      <c r="F42" t="s">
        <v>165</v>
      </c>
    </row>
    <row r="43" spans="5:6" x14ac:dyDescent="0.2">
      <c r="E43">
        <v>10</v>
      </c>
      <c r="F43" t="s">
        <v>166</v>
      </c>
    </row>
    <row r="44" spans="5:6" x14ac:dyDescent="0.2">
      <c r="E44">
        <v>11</v>
      </c>
      <c r="F44" t="s">
        <v>167</v>
      </c>
    </row>
    <row r="45" spans="5:6" x14ac:dyDescent="0.2">
      <c r="E45">
        <v>12</v>
      </c>
      <c r="F45" t="s">
        <v>168</v>
      </c>
    </row>
    <row r="46" spans="5:6" x14ac:dyDescent="0.2">
      <c r="E46">
        <v>13</v>
      </c>
      <c r="F46" t="s">
        <v>169</v>
      </c>
    </row>
    <row r="47" spans="5:6" x14ac:dyDescent="0.2">
      <c r="E47">
        <v>14</v>
      </c>
      <c r="F47" t="s">
        <v>170</v>
      </c>
    </row>
    <row r="48" spans="5:6" x14ac:dyDescent="0.2">
      <c r="E48">
        <v>15</v>
      </c>
      <c r="F48" t="s">
        <v>171</v>
      </c>
    </row>
    <row r="49" spans="5:6" x14ac:dyDescent="0.2">
      <c r="E49">
        <v>16</v>
      </c>
      <c r="F49" t="s">
        <v>172</v>
      </c>
    </row>
    <row r="50" spans="5:6" x14ac:dyDescent="0.2">
      <c r="E50">
        <v>17</v>
      </c>
      <c r="F50" t="s">
        <v>173</v>
      </c>
    </row>
    <row r="51" spans="5:6" x14ac:dyDescent="0.2">
      <c r="E51">
        <v>18</v>
      </c>
      <c r="F51" t="s">
        <v>174</v>
      </c>
    </row>
    <row r="52" spans="5:6" x14ac:dyDescent="0.2">
      <c r="E52">
        <v>19</v>
      </c>
      <c r="F52" t="s">
        <v>175</v>
      </c>
    </row>
    <row r="53" spans="5:6" x14ac:dyDescent="0.2">
      <c r="E53">
        <v>20</v>
      </c>
      <c r="F53" t="s">
        <v>176</v>
      </c>
    </row>
    <row r="54" spans="5:6" x14ac:dyDescent="0.2">
      <c r="E54">
        <v>21</v>
      </c>
      <c r="F54" t="s">
        <v>177</v>
      </c>
    </row>
    <row r="55" spans="5:6" x14ac:dyDescent="0.2">
      <c r="E55">
        <v>22</v>
      </c>
      <c r="F55" t="s">
        <v>178</v>
      </c>
    </row>
    <row r="56" spans="5:6" x14ac:dyDescent="0.2">
      <c r="E56">
        <v>23</v>
      </c>
      <c r="F56" t="s">
        <v>179</v>
      </c>
    </row>
    <row r="57" spans="5:6" x14ac:dyDescent="0.2">
      <c r="E57">
        <v>24</v>
      </c>
      <c r="F57" t="s">
        <v>180</v>
      </c>
    </row>
    <row r="58" spans="5:6" x14ac:dyDescent="0.2">
      <c r="E58">
        <v>25</v>
      </c>
      <c r="F58" t="s">
        <v>181</v>
      </c>
    </row>
    <row r="59" spans="5:6" x14ac:dyDescent="0.2">
      <c r="E59">
        <v>26</v>
      </c>
      <c r="F59" t="s">
        <v>182</v>
      </c>
    </row>
    <row r="60" spans="5:6" x14ac:dyDescent="0.2">
      <c r="E60">
        <v>27</v>
      </c>
      <c r="F60" t="s">
        <v>183</v>
      </c>
    </row>
    <row r="61" spans="5:6" x14ac:dyDescent="0.2">
      <c r="E61">
        <v>28</v>
      </c>
      <c r="F61" t="s">
        <v>184</v>
      </c>
    </row>
    <row r="62" spans="5:6" x14ac:dyDescent="0.2">
      <c r="E62">
        <v>29</v>
      </c>
      <c r="F62" t="s">
        <v>185</v>
      </c>
    </row>
    <row r="63" spans="5:6" x14ac:dyDescent="0.2">
      <c r="E63">
        <v>30</v>
      </c>
      <c r="F63" t="s">
        <v>186</v>
      </c>
    </row>
    <row r="64" spans="5:6" x14ac:dyDescent="0.2">
      <c r="E64">
        <v>31</v>
      </c>
      <c r="F64" t="s">
        <v>187</v>
      </c>
    </row>
    <row r="65" spans="5:6" x14ac:dyDescent="0.2">
      <c r="E65">
        <v>32</v>
      </c>
      <c r="F65" t="s">
        <v>188</v>
      </c>
    </row>
    <row r="66" spans="5:6" x14ac:dyDescent="0.2">
      <c r="E66">
        <v>33</v>
      </c>
      <c r="F66" t="s">
        <v>189</v>
      </c>
    </row>
    <row r="67" spans="5:6" x14ac:dyDescent="0.2">
      <c r="E67">
        <v>34</v>
      </c>
      <c r="F67" t="s">
        <v>190</v>
      </c>
    </row>
    <row r="68" spans="5:6" x14ac:dyDescent="0.2">
      <c r="E68">
        <v>35</v>
      </c>
      <c r="F68" t="s">
        <v>191</v>
      </c>
    </row>
    <row r="69" spans="5:6" x14ac:dyDescent="0.2">
      <c r="E69">
        <v>36</v>
      </c>
      <c r="F69" t="s">
        <v>192</v>
      </c>
    </row>
    <row r="70" spans="5:6" x14ac:dyDescent="0.2">
      <c r="E70">
        <v>37</v>
      </c>
      <c r="F70" t="s">
        <v>193</v>
      </c>
    </row>
    <row r="71" spans="5:6" x14ac:dyDescent="0.2">
      <c r="E71">
        <v>38</v>
      </c>
      <c r="F71" t="s">
        <v>194</v>
      </c>
    </row>
    <row r="72" spans="5:6" x14ac:dyDescent="0.2">
      <c r="E72">
        <v>39</v>
      </c>
      <c r="F72" t="s">
        <v>195</v>
      </c>
    </row>
    <row r="73" spans="5:6" x14ac:dyDescent="0.2">
      <c r="E73">
        <v>40</v>
      </c>
      <c r="F73" t="s">
        <v>196</v>
      </c>
    </row>
    <row r="74" spans="5:6" x14ac:dyDescent="0.2">
      <c r="E74">
        <v>41</v>
      </c>
      <c r="F74" t="s">
        <v>197</v>
      </c>
    </row>
    <row r="75" spans="5:6" x14ac:dyDescent="0.2">
      <c r="E75">
        <v>42</v>
      </c>
      <c r="F75" t="s">
        <v>198</v>
      </c>
    </row>
    <row r="76" spans="5:6" x14ac:dyDescent="0.2">
      <c r="E76">
        <v>43</v>
      </c>
      <c r="F76" t="s">
        <v>199</v>
      </c>
    </row>
    <row r="77" spans="5:6" x14ac:dyDescent="0.2">
      <c r="E77">
        <v>44</v>
      </c>
      <c r="F77" t="s">
        <v>200</v>
      </c>
    </row>
    <row r="78" spans="5:6" x14ac:dyDescent="0.2">
      <c r="E78">
        <v>45</v>
      </c>
      <c r="F78" t="s">
        <v>201</v>
      </c>
    </row>
    <row r="79" spans="5:6" x14ac:dyDescent="0.2">
      <c r="E79">
        <v>46</v>
      </c>
      <c r="F79" t="s">
        <v>202</v>
      </c>
    </row>
    <row r="80" spans="5:6" x14ac:dyDescent="0.2">
      <c r="E80">
        <v>47</v>
      </c>
      <c r="F80" t="s">
        <v>203</v>
      </c>
    </row>
    <row r="81" spans="5:6" x14ac:dyDescent="0.2">
      <c r="E81">
        <v>48</v>
      </c>
      <c r="F81" t="s">
        <v>204</v>
      </c>
    </row>
    <row r="82" spans="5:6" x14ac:dyDescent="0.2">
      <c r="E82">
        <v>49</v>
      </c>
      <c r="F82" t="s">
        <v>205</v>
      </c>
    </row>
  </sheetData>
  <phoneticPr fontId="2" type="noConversion"/>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Read this first</vt:lpstr>
      <vt:lpstr>Initial Information Request</vt:lpstr>
      <vt:lpstr>Assessment</vt:lpstr>
    </vt:vector>
  </TitlesOfParts>
  <Company/>
  <LinksUpToDate>false</LinksUpToDate>
  <SharedDoc>false</SharedDoc>
  <HyperlinkBase>https://compliance.qcert.org/privacy/</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Privacy by Design Assessment Tool Beta version</dc:title>
  <dc:creator>privacy@ncsa.gov.qa</dc:creator>
  <cp:lastModifiedBy>Almabrouk Ben Omran</cp:lastModifiedBy>
  <cp:lastPrinted>2024-06-01T16:18:38Z</cp:lastPrinted>
  <dcterms:created xsi:type="dcterms:W3CDTF">2023-06-11T11:12:35Z</dcterms:created>
  <dcterms:modified xsi:type="dcterms:W3CDTF">2024-06-25T05:40:14Z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2023-06-11T11:12:36Z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5cc10745-074a-44bd-afc0-9d33adda1538</vt:lpwstr>
  </property>
  <property fmtid="{D5CDD505-2E9C-101B-9397-08002B2CF9AE}" pid="8" name="MSIP_Label_ea60d57e-af5b-4752-ac57-3e4f28ca11dc_ContentBits">
    <vt:lpwstr>0</vt:lpwstr>
  </property>
</Properties>
</file>